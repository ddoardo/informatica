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2"/>
  <workbookPr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49061CB6-300A-419F-876C-6FE1DA9755CA}" xr6:coauthVersionLast="47" xr6:coauthVersionMax="47" xr10:uidLastSave="{00000000-0000-0000-0000-000000000000}"/>
  <bookViews>
    <workbookView xWindow="0" yWindow="0" windowWidth="28800" windowHeight="12225" firstSheet="1" activeTab="1" xr2:uid="{00000000-000D-0000-FFFF-FFFF00000000}"/>
  </bookViews>
  <sheets>
    <sheet name="Planilha2" sheetId="3" r:id="rId1"/>
    <sheet name="Atividade" sheetId="2" r:id="rId2"/>
    <sheet name="IDADE POR TIPO DE VEICULO UFMG" sheetId="1" r:id="rId3"/>
  </sheets>
  <definedNames>
    <definedName name="_xlchart.v1.0" hidden="1">Atividade!$A$4:$A$7</definedName>
    <definedName name="_xlchart.v1.1" hidden="1">Atividade!$B$3</definedName>
    <definedName name="_xlchart.v1.2" hidden="1">Atividade!$B$4:$B$7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" l="1"/>
  <c r="B14" i="2"/>
  <c r="B13" i="2"/>
  <c r="B12" i="2"/>
  <c r="B11" i="2"/>
  <c r="J3" i="2"/>
  <c r="E3" i="2"/>
  <c r="E4" i="2" s="1"/>
  <c r="B7" i="2"/>
  <c r="B6" i="2"/>
  <c r="B5" i="2"/>
  <c r="B4" i="2"/>
  <c r="J5" i="2" l="1"/>
  <c r="J4" i="2"/>
  <c r="E5" i="2"/>
</calcChain>
</file>

<file path=xl/sharedStrings.xml><?xml version="1.0" encoding="utf-8"?>
<sst xmlns="http://schemas.openxmlformats.org/spreadsheetml/2006/main" count="3100" uniqueCount="785">
  <si>
    <t>AnoFabr.</t>
  </si>
  <si>
    <t>Marca</t>
  </si>
  <si>
    <t>Placa</t>
  </si>
  <si>
    <t>Modelo</t>
  </si>
  <si>
    <t>VOLKSWAGEN</t>
  </si>
  <si>
    <t>RFA7D18</t>
  </si>
  <si>
    <t>DRC 4X2</t>
  </si>
  <si>
    <t>GMF1396</t>
  </si>
  <si>
    <t xml:space="preserve">CAMINHAO TANQUE </t>
  </si>
  <si>
    <t>FORD</t>
  </si>
  <si>
    <t>NYB3752</t>
  </si>
  <si>
    <t>TANQUE CARGO 1722 CN</t>
  </si>
  <si>
    <t>MERCEDES BENZ</t>
  </si>
  <si>
    <t>GMF2414</t>
  </si>
  <si>
    <t>CAMINHAO  L1314</t>
  </si>
  <si>
    <t>AGRALE</t>
  </si>
  <si>
    <t>GMF7791</t>
  </si>
  <si>
    <t>CAMINHAO 10000</t>
  </si>
  <si>
    <t>IVECO</t>
  </si>
  <si>
    <t>OPF1841</t>
  </si>
  <si>
    <t>CAMINHAO VERTIS 90V18</t>
  </si>
  <si>
    <t>GMF2794</t>
  </si>
  <si>
    <t>CAMINHAO 608</t>
  </si>
  <si>
    <t>GMF7280</t>
  </si>
  <si>
    <t>GMF4336</t>
  </si>
  <si>
    <t>CAMINHAO DAILY 6012 CC1</t>
  </si>
  <si>
    <t>GMF7279</t>
  </si>
  <si>
    <t>KIA MOTORS</t>
  </si>
  <si>
    <t>HLR8H30</t>
  </si>
  <si>
    <t>BESTA</t>
  </si>
  <si>
    <t>GMF2862</t>
  </si>
  <si>
    <t>CAMINHAO  L1113</t>
  </si>
  <si>
    <t>GMF5422</t>
  </si>
  <si>
    <t>CAMINHAO 8500</t>
  </si>
  <si>
    <t>OPF1840</t>
  </si>
  <si>
    <t>GMF3256</t>
  </si>
  <si>
    <t>CAMINHAO 710</t>
  </si>
  <si>
    <t>HNX0284</t>
  </si>
  <si>
    <t>CAMINHAO BAU 815 N</t>
  </si>
  <si>
    <t>GXP5136</t>
  </si>
  <si>
    <t>PICK-UP F75</t>
  </si>
  <si>
    <t>CHEVROLET</t>
  </si>
  <si>
    <t>GMF3259</t>
  </si>
  <si>
    <t>PICK-UP GM/S10 2.8 S</t>
  </si>
  <si>
    <t>OPF6541</t>
  </si>
  <si>
    <t>PICK-UP S10 2.2 S</t>
  </si>
  <si>
    <t>GMF3242</t>
  </si>
  <si>
    <t>PICK-UP COURIER 1.6 L</t>
  </si>
  <si>
    <t>GMF6891</t>
  </si>
  <si>
    <t>SAVEIRO 1,6 CE</t>
  </si>
  <si>
    <t>HCG1E96</t>
  </si>
  <si>
    <t>GMF2581</t>
  </si>
  <si>
    <t>KOMBI PICK-UP</t>
  </si>
  <si>
    <t>FIAT</t>
  </si>
  <si>
    <t>GMF3059</t>
  </si>
  <si>
    <t>STRADA WORKING</t>
  </si>
  <si>
    <t>GMF3254</t>
  </si>
  <si>
    <t>GMF6987</t>
  </si>
  <si>
    <t>GMF6494</t>
  </si>
  <si>
    <t>RANGER XL</t>
  </si>
  <si>
    <t>GMF3245</t>
  </si>
  <si>
    <t>GXM9295</t>
  </si>
  <si>
    <t>SAVEIRO 1.6 CS</t>
  </si>
  <si>
    <t>GXM9257</t>
  </si>
  <si>
    <t>GMF5171</t>
  </si>
  <si>
    <t>VAN FURGAO</t>
  </si>
  <si>
    <t>GMF6754</t>
  </si>
  <si>
    <t>AMBULANCIA DAYLE 45S14</t>
  </si>
  <si>
    <t>HEJ4424</t>
  </si>
  <si>
    <t>KOMBI FURGAO</t>
  </si>
  <si>
    <t>HKT2009</t>
  </si>
  <si>
    <t>CAVALO MEC. AXOR 1933 S</t>
  </si>
  <si>
    <t>REBOQUE</t>
  </si>
  <si>
    <t>GMF4322</t>
  </si>
  <si>
    <t>HKC7044</t>
  </si>
  <si>
    <t>GMF3523</t>
  </si>
  <si>
    <t>HEJ4883</t>
  </si>
  <si>
    <t>GMU7184</t>
  </si>
  <si>
    <t>GVS3129</t>
  </si>
  <si>
    <t>HEI4116</t>
  </si>
  <si>
    <t>GMF6599</t>
  </si>
  <si>
    <t>GMF8291</t>
  </si>
  <si>
    <t>HCG9025</t>
  </si>
  <si>
    <t>GMF6598</t>
  </si>
  <si>
    <t>GMF4316</t>
  </si>
  <si>
    <t>LINSHALM</t>
  </si>
  <si>
    <t>NYA5536</t>
  </si>
  <si>
    <t>CARRETA MUSEU ITINERANTE SRF2ECL</t>
  </si>
  <si>
    <t>GMF7913</t>
  </si>
  <si>
    <t>AMBULANCIA MARIMAR 415</t>
  </si>
  <si>
    <t>GMF7911</t>
  </si>
  <si>
    <t>AMAROK CD 4X4 SE</t>
  </si>
  <si>
    <t>GMF7181</t>
  </si>
  <si>
    <t>GMF7897</t>
  </si>
  <si>
    <t>GMF7750</t>
  </si>
  <si>
    <t>GSZ4470</t>
  </si>
  <si>
    <t>GMF7852</t>
  </si>
  <si>
    <t>GMF7682</t>
  </si>
  <si>
    <t>GMF7179</t>
  </si>
  <si>
    <t>PAC6260</t>
  </si>
  <si>
    <t>STRADA TREK FLEX</t>
  </si>
  <si>
    <t>GMF7177</t>
  </si>
  <si>
    <t>GMF7176</t>
  </si>
  <si>
    <t>GMF7180</t>
  </si>
  <si>
    <t>GMF7178</t>
  </si>
  <si>
    <t>MITSUBISHI</t>
  </si>
  <si>
    <t>JKH9313</t>
  </si>
  <si>
    <t>L200 GL</t>
  </si>
  <si>
    <t>JKH9243</t>
  </si>
  <si>
    <t>JKH9333</t>
  </si>
  <si>
    <t>JKH9283</t>
  </si>
  <si>
    <t>GMF3554</t>
  </si>
  <si>
    <t>GM/S10 2.8 D CABINE DUPLA</t>
  </si>
  <si>
    <t>GMF5092</t>
  </si>
  <si>
    <t>KOMBI - STANDARD</t>
  </si>
  <si>
    <t>GMF5091</t>
  </si>
  <si>
    <t>GMF5418</t>
  </si>
  <si>
    <t>GMF5704</t>
  </si>
  <si>
    <t>GMF6843</t>
  </si>
  <si>
    <t>GMF6846</t>
  </si>
  <si>
    <t>GMF6545</t>
  </si>
  <si>
    <t>GMF7229</t>
  </si>
  <si>
    <t xml:space="preserve">KOMBI STANDARD </t>
  </si>
  <si>
    <t>GMF5702</t>
  </si>
  <si>
    <t>GMF5419</t>
  </si>
  <si>
    <t>GMF6543</t>
  </si>
  <si>
    <t>GMF3249</t>
  </si>
  <si>
    <t>GMF5703</t>
  </si>
  <si>
    <t>QOM8490</t>
  </si>
  <si>
    <t>DOBLO EX</t>
  </si>
  <si>
    <t>GMF5090</t>
  </si>
  <si>
    <t>GMF6355</t>
  </si>
  <si>
    <t>GMF6844</t>
  </si>
  <si>
    <t>GMF7228</t>
  </si>
  <si>
    <t>GMF6845</t>
  </si>
  <si>
    <t>GMF5417</t>
  </si>
  <si>
    <t>HDK9167</t>
  </si>
  <si>
    <t>GMF5421</t>
  </si>
  <si>
    <t>GMF5094</t>
  </si>
  <si>
    <t>GMF7C31</t>
  </si>
  <si>
    <t>GMF7097</t>
  </si>
  <si>
    <t>GMF7230</t>
  </si>
  <si>
    <t>GMF5420</t>
  </si>
  <si>
    <t>HLF3224</t>
  </si>
  <si>
    <t>GMF5416</t>
  </si>
  <si>
    <t>GMF6842</t>
  </si>
  <si>
    <t>GMF6544</t>
  </si>
  <si>
    <t>NISSAN</t>
  </si>
  <si>
    <t>GMF5189</t>
  </si>
  <si>
    <t>FRONTIER 4X4 XE</t>
  </si>
  <si>
    <t>HFS8588</t>
  </si>
  <si>
    <t>PICK-UP L200 OUTDOOR</t>
  </si>
  <si>
    <t>GMF8068</t>
  </si>
  <si>
    <t>PICK-UP S10 LT DD4A</t>
  </si>
  <si>
    <t>HAE4379</t>
  </si>
  <si>
    <t>PIC-UP GM/S10 2.8 D</t>
  </si>
  <si>
    <t>HLP4328</t>
  </si>
  <si>
    <t>FRONTIER  SE 25 X2 09/09</t>
  </si>
  <si>
    <t>G. MOTORS</t>
  </si>
  <si>
    <t>HJU0691</t>
  </si>
  <si>
    <t>TRACKER 2.0</t>
  </si>
  <si>
    <t>RENAULT</t>
  </si>
  <si>
    <t>EXY2I64</t>
  </si>
  <si>
    <t>MASTER TRANSP. ESCOLAR</t>
  </si>
  <si>
    <t>GMF5169</t>
  </si>
  <si>
    <t>UNO MILLE FIRE</t>
  </si>
  <si>
    <t>GMF7099</t>
  </si>
  <si>
    <t>SPACEFOX TREND GII</t>
  </si>
  <si>
    <t>GMF5427</t>
  </si>
  <si>
    <t>PALIO ELX FLEX</t>
  </si>
  <si>
    <t>GMF7100</t>
  </si>
  <si>
    <t>GMF6929</t>
  </si>
  <si>
    <t>GMF7240</t>
  </si>
  <si>
    <t>GMF7751</t>
  </si>
  <si>
    <t>SPACECROSS GII</t>
  </si>
  <si>
    <t>GMF7776</t>
  </si>
  <si>
    <t>GMF6848</t>
  </si>
  <si>
    <t>GMF5756</t>
  </si>
  <si>
    <t>FIESTA 1.6</t>
  </si>
  <si>
    <t>GMF7101</t>
  </si>
  <si>
    <t>HMR4787</t>
  </si>
  <si>
    <t>STRADA FIRE FLEX</t>
  </si>
  <si>
    <t>HJJ6963</t>
  </si>
  <si>
    <t>MERIVA JOY</t>
  </si>
  <si>
    <t>GMF5754</t>
  </si>
  <si>
    <t>GMF5423</t>
  </si>
  <si>
    <t>GMF7898</t>
  </si>
  <si>
    <t>GMF5815</t>
  </si>
  <si>
    <t>SIENA ELX FLEX</t>
  </si>
  <si>
    <t>GMF6526</t>
  </si>
  <si>
    <t>PALIO WK ATTRAC</t>
  </si>
  <si>
    <t>GMF8536</t>
  </si>
  <si>
    <t>PRISMA</t>
  </si>
  <si>
    <t>HKC6962</t>
  </si>
  <si>
    <t>LINEA</t>
  </si>
  <si>
    <t>GMF5755</t>
  </si>
  <si>
    <t>GMF7232</t>
  </si>
  <si>
    <t>GMF7576</t>
  </si>
  <si>
    <t>GMF7899</t>
  </si>
  <si>
    <t>GMF8354</t>
  </si>
  <si>
    <t>LOGAN EXP. 1.6 SCE</t>
  </si>
  <si>
    <t>GMF8355</t>
  </si>
  <si>
    <t>GMF8484</t>
  </si>
  <si>
    <t>CRONOS</t>
  </si>
  <si>
    <t>GMF8485</t>
  </si>
  <si>
    <t>GMF8532</t>
  </si>
  <si>
    <t>GMF8533</t>
  </si>
  <si>
    <t>HLP3585</t>
  </si>
  <si>
    <t>WEEKEND ADV. LOCKER</t>
  </si>
  <si>
    <t>HMF5A30</t>
  </si>
  <si>
    <t>UNO MILLE ECONOMY</t>
  </si>
  <si>
    <t>GMF7102</t>
  </si>
  <si>
    <t>GMF7237</t>
  </si>
  <si>
    <t>GMF4562</t>
  </si>
  <si>
    <t>GMF5163</t>
  </si>
  <si>
    <t>GMF6939</t>
  </si>
  <si>
    <t>GMF6932</t>
  </si>
  <si>
    <t>GMF5175</t>
  </si>
  <si>
    <t>PARATI 1.6</t>
  </si>
  <si>
    <t>GMF5166</t>
  </si>
  <si>
    <t>GMF6849</t>
  </si>
  <si>
    <t>GMF7900</t>
  </si>
  <si>
    <t>HMB8801</t>
  </si>
  <si>
    <t>UNO MILLE WAY ECON</t>
  </si>
  <si>
    <t>GMF4564</t>
  </si>
  <si>
    <t>DOBLO ADVENTURE</t>
  </si>
  <si>
    <t>GMF5426</t>
  </si>
  <si>
    <t>GMF6847</t>
  </si>
  <si>
    <t>GMF6535</t>
  </si>
  <si>
    <t>GMF4738</t>
  </si>
  <si>
    <t>PALIO WEEKEND ADVENTURE</t>
  </si>
  <si>
    <t>PAC6254</t>
  </si>
  <si>
    <t>UNO VIVACE 1.0</t>
  </si>
  <si>
    <t>GMF6458</t>
  </si>
  <si>
    <t>SENTRA 2.0 FLEX</t>
  </si>
  <si>
    <t>GMF6459</t>
  </si>
  <si>
    <t>GMF7723</t>
  </si>
  <si>
    <t>FLUENCE</t>
  </si>
  <si>
    <t>GMF7725</t>
  </si>
  <si>
    <t>GMF7749</t>
  </si>
  <si>
    <t>GMF5173</t>
  </si>
  <si>
    <t>GMF7226</t>
  </si>
  <si>
    <t>GMF5181</t>
  </si>
  <si>
    <t>GMF7826</t>
  </si>
  <si>
    <t>GMF5759</t>
  </si>
  <si>
    <t>GMF7241</t>
  </si>
  <si>
    <t>GMF7227</t>
  </si>
  <si>
    <t>HKT4123</t>
  </si>
  <si>
    <t>GMF4338</t>
  </si>
  <si>
    <t xml:space="preserve">PALIO WK ADVENTURE </t>
  </si>
  <si>
    <t>GMF5425</t>
  </si>
  <si>
    <t>GMF5428</t>
  </si>
  <si>
    <t>GMF5757</t>
  </si>
  <si>
    <t>GMF6584</t>
  </si>
  <si>
    <t>GMF7098</t>
  </si>
  <si>
    <t>GMF7239</t>
  </si>
  <si>
    <t>CITROEN</t>
  </si>
  <si>
    <t>GMF7309</t>
  </si>
  <si>
    <t>JUMPER M33M 23S</t>
  </si>
  <si>
    <t>HFP0D92</t>
  </si>
  <si>
    <t>OLR4740</t>
  </si>
  <si>
    <t>VOYAGE 1.6 COMFORTL</t>
  </si>
  <si>
    <t>GMF5168</t>
  </si>
  <si>
    <t>GMF5172</t>
  </si>
  <si>
    <t>GUF4074</t>
  </si>
  <si>
    <t>HGO3601</t>
  </si>
  <si>
    <t>PARATI TRACKFIELD 1.6</t>
  </si>
  <si>
    <t>HIO8259</t>
  </si>
  <si>
    <t>GMF5165</t>
  </si>
  <si>
    <t>GMF5758</t>
  </si>
  <si>
    <t>GMF5424</t>
  </si>
  <si>
    <t>GMF5930</t>
  </si>
  <si>
    <t>LOGAN EXP 1.0 16 V</t>
  </si>
  <si>
    <t>GMF6583</t>
  </si>
  <si>
    <t>HEJ9621</t>
  </si>
  <si>
    <t>SCENIC EXP 1616V</t>
  </si>
  <si>
    <t>GMF4307</t>
  </si>
  <si>
    <t>GMF5167</t>
  </si>
  <si>
    <t>GMF5164</t>
  </si>
  <si>
    <t>HMR4789</t>
  </si>
  <si>
    <t>HIO8310</t>
  </si>
  <si>
    <t>HIO8319</t>
  </si>
  <si>
    <t>HMJ1867</t>
  </si>
  <si>
    <t>HMR4791</t>
  </si>
  <si>
    <t>NXY0160</t>
  </si>
  <si>
    <t>VAN TRANSIT 350 L CIRILO</t>
  </si>
  <si>
    <t>GMF7189</t>
  </si>
  <si>
    <t>VAN DAYLE GREENCAR</t>
  </si>
  <si>
    <t>GMF1756</t>
  </si>
  <si>
    <t>VAN SPRINTER</t>
  </si>
  <si>
    <t>GMF6642</t>
  </si>
  <si>
    <t>VAN DUCATO MINIBUS</t>
  </si>
  <si>
    <t>GMF7685</t>
  </si>
  <si>
    <t>VAN SPRINTER 515CD</t>
  </si>
  <si>
    <t>GMF7844</t>
  </si>
  <si>
    <t>GMF8048</t>
  </si>
  <si>
    <t>VAN SPRINTER 415 CD</t>
  </si>
  <si>
    <t>GMF8534</t>
  </si>
  <si>
    <t>GSM6051</t>
  </si>
  <si>
    <t>GMF6538</t>
  </si>
  <si>
    <t>GMF7185</t>
  </si>
  <si>
    <t>GMF7940</t>
  </si>
  <si>
    <t>GMF6933</t>
  </si>
  <si>
    <t>DAILY NIKS MIC 20</t>
  </si>
  <si>
    <t>MARCOPOLO</t>
  </si>
  <si>
    <t>GMF6462</t>
  </si>
  <si>
    <t>ÔNIBUS MARCOPOLO/ VOLARE W8 ON</t>
  </si>
  <si>
    <t>GMF6524</t>
  </si>
  <si>
    <t>GMF3253</t>
  </si>
  <si>
    <t>GMF6934</t>
  </si>
  <si>
    <t>GMF5293</t>
  </si>
  <si>
    <t>HONDA</t>
  </si>
  <si>
    <t>GSX3225</t>
  </si>
  <si>
    <t>XLR 125</t>
  </si>
  <si>
    <t>GSX3556</t>
  </si>
  <si>
    <t>GMF4764</t>
  </si>
  <si>
    <t>ONIBUS 15180 EOD NEOBUS</t>
  </si>
  <si>
    <t>GMF5985</t>
  </si>
  <si>
    <t>COMIL VERSATILE</t>
  </si>
  <si>
    <t>GMF8192</t>
  </si>
  <si>
    <t>ONIBUS MASCA GRANMICRO</t>
  </si>
  <si>
    <t>QOW0028</t>
  </si>
  <si>
    <t xml:space="preserve">MARCOPOLO VOLARE W9 </t>
  </si>
  <si>
    <t>GMF7901</t>
  </si>
  <si>
    <t>GMF6928</t>
  </si>
  <si>
    <t>GMF3118</t>
  </si>
  <si>
    <t>M. POLO VIAGGIO GV 850</t>
  </si>
  <si>
    <t>GMF6946</t>
  </si>
  <si>
    <t>GMF5986</t>
  </si>
  <si>
    <t>GMF7777</t>
  </si>
  <si>
    <t>GMF7778</t>
  </si>
  <si>
    <t>GMF8352</t>
  </si>
  <si>
    <t>COMIL CAMPIONE R</t>
  </si>
  <si>
    <t>GMF6384</t>
  </si>
  <si>
    <t>ONIBUS MAXIBUS MC 085</t>
  </si>
  <si>
    <t>GMF4373</t>
  </si>
  <si>
    <t>ALLEGRO R 17.2100D</t>
  </si>
  <si>
    <t>GMF7843</t>
  </si>
  <si>
    <t>ONIBUS ROMA 310</t>
  </si>
  <si>
    <t>SCANIA</t>
  </si>
  <si>
    <t>GVJ9346</t>
  </si>
  <si>
    <t>ONIBUS K 112 33</t>
  </si>
  <si>
    <t>GMF3302</t>
  </si>
  <si>
    <t>RODOVIARIO VW</t>
  </si>
  <si>
    <t>GMF5101</t>
  </si>
  <si>
    <t>ATHENAS</t>
  </si>
  <si>
    <t>GMF6744</t>
  </si>
  <si>
    <t>ONIBUS OH 1628L ROD.LINCE</t>
  </si>
  <si>
    <t>GMF6947</t>
  </si>
  <si>
    <t>GMF3303</t>
  </si>
  <si>
    <t>MICRO ONIBUS 8-140</t>
  </si>
  <si>
    <t>GMF8601</t>
  </si>
  <si>
    <t>PIC-UP MMC L200</t>
  </si>
  <si>
    <t>1. Quantos veículos estão em cada estado de conservação?</t>
  </si>
  <si>
    <t>2. Qual é o veículo mais antigo?</t>
  </si>
  <si>
    <t>3. Qual modelo de carro mais atual?</t>
  </si>
  <si>
    <t>Estado de Conservação</t>
  </si>
  <si>
    <t>Ano</t>
  </si>
  <si>
    <t>Ótimo</t>
  </si>
  <si>
    <t>Bom</t>
  </si>
  <si>
    <t>Regular</t>
  </si>
  <si>
    <t>Anti-econômico</t>
  </si>
  <si>
    <t>4. Quantos veículos utilizam cada tipo de combustível?</t>
  </si>
  <si>
    <t>5. Quantas AMAROK CD 4X4 SE contém na frota?</t>
  </si>
  <si>
    <t>Diesel</t>
  </si>
  <si>
    <t>Gasolina</t>
  </si>
  <si>
    <t>Flex</t>
  </si>
  <si>
    <t>Outros</t>
  </si>
  <si>
    <t>RELATÓRIO DE VEÍCULOS DA FROTA</t>
  </si>
  <si>
    <t>Chassi</t>
  </si>
  <si>
    <t>Aquisição</t>
  </si>
  <si>
    <t>Conservação</t>
  </si>
  <si>
    <t>Combustivel</t>
  </si>
  <si>
    <t>Unidade</t>
  </si>
  <si>
    <t>Departamento</t>
  </si>
  <si>
    <t>Tipo</t>
  </si>
  <si>
    <t>9535h5TB0MR104638</t>
  </si>
  <si>
    <t>PRO REITORIA DE ADM.</t>
  </si>
  <si>
    <t>PRA-DGA-AREAS VERDES</t>
  </si>
  <si>
    <t>CAMINHAO</t>
  </si>
  <si>
    <t>9BWXTACM3SDB90133</t>
  </si>
  <si>
    <t>COMPRA</t>
  </si>
  <si>
    <t xml:space="preserve">CAR/CAMINHAO TANQUE </t>
  </si>
  <si>
    <t>9BFYEAXV8CBS98646</t>
  </si>
  <si>
    <t>DEMAI</t>
  </si>
  <si>
    <t>DEMAI SERVICOS GERAIS</t>
  </si>
  <si>
    <t>9BM345002JB818756</t>
  </si>
  <si>
    <t>VET.ESC. VETERINARIA</t>
  </si>
  <si>
    <t>VET-FAZ. IGARAPE</t>
  </si>
  <si>
    <t>CAR/CAMINHAO/BASCULANTE</t>
  </si>
  <si>
    <t>9BYC79A2AEC000340</t>
  </si>
  <si>
    <t>VET-SERVICOS GERAIS</t>
  </si>
  <si>
    <t>CAR/CAMINHAO/C.ABERTA</t>
  </si>
  <si>
    <t>93ZA90D00D8560154</t>
  </si>
  <si>
    <t>DOACAO</t>
  </si>
  <si>
    <t>ICA INSTITUTO DE CIENC. AGRARIAS</t>
  </si>
  <si>
    <t>ICA SERVIÇOS GERAIS</t>
  </si>
  <si>
    <t>9BYC79A2ADC000147</t>
  </si>
  <si>
    <t>ICA TRANSPORTES</t>
  </si>
  <si>
    <t>93ZC5980138310840</t>
  </si>
  <si>
    <t>PRA-DLO-DITRA</t>
  </si>
  <si>
    <t>9BYC79A2ADC000148</t>
  </si>
  <si>
    <t>KNCSHX73AC7623360</t>
  </si>
  <si>
    <t>DOAÇÃO FUNDEP Nº 011875-D</t>
  </si>
  <si>
    <t>9BYC2762R8C001675</t>
  </si>
  <si>
    <t>MUSEU</t>
  </si>
  <si>
    <t>MUSEU-SEC. ADM</t>
  </si>
  <si>
    <t>93ZA90D00D8560030</t>
  </si>
  <si>
    <t>9BM688156YB252803</t>
  </si>
  <si>
    <t>DEMAI MANUTENCAO</t>
  </si>
  <si>
    <t>9BFVCE1N5CBB05347</t>
  </si>
  <si>
    <t>CAR/CAMINHAO/C.FECHADA</t>
  </si>
  <si>
    <t>LA3BBD73354</t>
  </si>
  <si>
    <t>Alcool</t>
  </si>
  <si>
    <t>ENG - ESC. ENGENHARIA</t>
  </si>
  <si>
    <t>ENG DEPTO ENGENHARIA MECANICA</t>
  </si>
  <si>
    <t>CAR/CAMION./C.ABERTA</t>
  </si>
  <si>
    <t>9BG124AC01C404825</t>
  </si>
  <si>
    <t>9BG148DH0DC442931</t>
  </si>
  <si>
    <t>9BFNSZPPA1B913049</t>
  </si>
  <si>
    <t>INST. CIENC. EXATAS</t>
  </si>
  <si>
    <t>INST. CIENC. EXATAS-SERVICOS GERAIS</t>
  </si>
  <si>
    <t>9BWLB05U0CP177944</t>
  </si>
  <si>
    <t>PRA-DLO-DSU</t>
  </si>
  <si>
    <t>9BFNSZPPA5B966045</t>
  </si>
  <si>
    <t>DOACAO CONT. 08056-D</t>
  </si>
  <si>
    <t>9BWZZZ26ZGP014208</t>
  </si>
  <si>
    <t>PRA-DLO-DITRA-LEILAO</t>
  </si>
  <si>
    <t>9BD278072Y2718588</t>
  </si>
  <si>
    <t>9BG124AS0YC440416</t>
  </si>
  <si>
    <t>9BWLB05U4DP047960</t>
  </si>
  <si>
    <t>8AFER13P4BJ348528</t>
  </si>
  <si>
    <t>PROGRAD</t>
  </si>
  <si>
    <t>PROGRAD CAED ENSINO A DISTANCIA</t>
  </si>
  <si>
    <t>9BG124ASOYC440357</t>
  </si>
  <si>
    <t>DEMAI CAMPUS SAUDE</t>
  </si>
  <si>
    <t>9BWKB05U0CP046184</t>
  </si>
  <si>
    <t>DOACAO CONTRATO 009995-D</t>
  </si>
  <si>
    <t xml:space="preserve">DEMAI DIV. OBRAS </t>
  </si>
  <si>
    <t>9BWKB05U2CP049295</t>
  </si>
  <si>
    <t>DOACAO CONTRATO 009579-D</t>
  </si>
  <si>
    <t>DEMAI DIV. MAQ. EQUIP. ESPECIAIS</t>
  </si>
  <si>
    <t>93ZC3890168324099</t>
  </si>
  <si>
    <t>CAR/CAMION./FURGAO</t>
  </si>
  <si>
    <t>93ZK42A01B8425889</t>
  </si>
  <si>
    <t>9BWFF07XX6PO16384</t>
  </si>
  <si>
    <t>DOACAO - CONTRATO NUM.05300-D</t>
  </si>
  <si>
    <t>9BM9582078B605611</t>
  </si>
  <si>
    <t>DOACAO TERMO 6306-2011</t>
  </si>
  <si>
    <t>CP ESC. FUND. CENTRO PEDAGÓGICO</t>
  </si>
  <si>
    <t>CP MUSEU ITINERANTE</t>
  </si>
  <si>
    <t>CAR/CARRETA</t>
  </si>
  <si>
    <t>UFMG3611183REM</t>
  </si>
  <si>
    <t>CAR/REBOQUE/C.ABERTA</t>
  </si>
  <si>
    <t>9A9CP30129CCE3001</t>
  </si>
  <si>
    <t>DOACAO  CONTRATO 07038-D</t>
  </si>
  <si>
    <t>MBLS0002271REM</t>
  </si>
  <si>
    <t>ICB-INST. CIENC. BIOLOGIAS</t>
  </si>
  <si>
    <t>ICB-SERVICOS GERAIS</t>
  </si>
  <si>
    <t>9A9BC26866MDH8100</t>
  </si>
  <si>
    <t>DOACAO CONTRATO 07887-D</t>
  </si>
  <si>
    <t>9EZMG10PCN0002279</t>
  </si>
  <si>
    <t>DOACAO-CONT.-001/2008</t>
  </si>
  <si>
    <t>ICB-DEPARTAMENTO DE BIOLOGIA GERAL</t>
  </si>
  <si>
    <t>9EZMG10PCT0005505</t>
  </si>
  <si>
    <t>DOACAO CONT. 001/2008</t>
  </si>
  <si>
    <t>9A9BC05116TDH8117</t>
  </si>
  <si>
    <t>DOACAO CONTRATO 08607-D</t>
  </si>
  <si>
    <t>9A9AP1FAZBFDC8794</t>
  </si>
  <si>
    <t>9A9T12LCTHCU1004</t>
  </si>
  <si>
    <t>9EZMG10PC40011548</t>
  </si>
  <si>
    <t>9A9AG2CACBFDC8050</t>
  </si>
  <si>
    <t>DEMAI-CIVIL</t>
  </si>
  <si>
    <t>9A9CG05113BDJ4063</t>
  </si>
  <si>
    <t>DOACAO-CONTRATO-03010-D</t>
  </si>
  <si>
    <t>9A908RCS291CX2074</t>
  </si>
  <si>
    <t>CAR/S.REBOQUE/C.FECHADA</t>
  </si>
  <si>
    <t>8AC906633EE093323</t>
  </si>
  <si>
    <t xml:space="preserve">PRORH </t>
  </si>
  <si>
    <t>PRORH-DAST-SEC. ADM</t>
  </si>
  <si>
    <t>ESP/CAMION/AMBULANCIA</t>
  </si>
  <si>
    <t>WV1DD42H2EA055248</t>
  </si>
  <si>
    <t>ENG-SERVICOS GERAIS</t>
  </si>
  <si>
    <t>ESP/CAMIONETE/AB.CAB.DUPLA</t>
  </si>
  <si>
    <t>WV1DB42H9DA006505</t>
  </si>
  <si>
    <t>WV1DD42H2EA050857</t>
  </si>
  <si>
    <t>FAFICH FAC. FILOS. CIENCIAS HUMANAS</t>
  </si>
  <si>
    <t>FAFICH-GABINETE</t>
  </si>
  <si>
    <t>WV1DD42H9EA028791</t>
  </si>
  <si>
    <t>ICB-GABINETE</t>
  </si>
  <si>
    <t>WV1DB42HXB8061419</t>
  </si>
  <si>
    <t>DOACAO CONTRATO 010502D</t>
  </si>
  <si>
    <t>WV1DD42H4EA049502</t>
  </si>
  <si>
    <t>IGC INST.GEOCIENCIAS</t>
  </si>
  <si>
    <t>IGC SERVICOS GERAIS</t>
  </si>
  <si>
    <t>WV1DD42H8EA013375</t>
  </si>
  <si>
    <t>COLTEC</t>
  </si>
  <si>
    <t>COLTEC-SECAO LOGISTICA OPERAC. E PREDIAL</t>
  </si>
  <si>
    <t>WV1DB42H7DA006549</t>
  </si>
  <si>
    <t>9BD578354F7920121</t>
  </si>
  <si>
    <t>DOACAO CONTRATO 018/2015</t>
  </si>
  <si>
    <t>WV1DB42H8DA005006</t>
  </si>
  <si>
    <t>WV1DB42HXDA006321</t>
  </si>
  <si>
    <t>EDITORA</t>
  </si>
  <si>
    <t>EDITORA-SEC. ADM</t>
  </si>
  <si>
    <t>WV1DB42H9DA006701</t>
  </si>
  <si>
    <t>MUSEU-SERVIÇOS GERAIS</t>
  </si>
  <si>
    <t>WV1DB42H2DA006734</t>
  </si>
  <si>
    <t>93XJNK3407C646215</t>
  </si>
  <si>
    <t>DOACAO TERMO Nr..2277/06</t>
  </si>
  <si>
    <t>ENF-ESC. ENFERMAGEM</t>
  </si>
  <si>
    <t>ENF-SERVICOS GERAIS</t>
  </si>
  <si>
    <t>MIS/CAMINHONETE/CABINE DUPLA</t>
  </si>
  <si>
    <t>93XJNK3407C646213</t>
  </si>
  <si>
    <t>DOAÇAO-TERMO Nr.2277/06</t>
  </si>
  <si>
    <t>FAC. MEDICINA</t>
  </si>
  <si>
    <t>FAC. MEDICINA-INTERNATO RURAL</t>
  </si>
  <si>
    <t>93XJNK3407C646211</t>
  </si>
  <si>
    <t>DOACAO-TERMO2277/2006</t>
  </si>
  <si>
    <t>93XJNK3407C646226</t>
  </si>
  <si>
    <t>DOACAO-TERMO Nr.2277/06</t>
  </si>
  <si>
    <t>ODONTO FAC. ODONTOLOGIA</t>
  </si>
  <si>
    <t>ODONTO -SERVICOS GERAIS</t>
  </si>
  <si>
    <t>9BG138DC01C439840</t>
  </si>
  <si>
    <t>DOACAO PROC.25381000273/2011-17</t>
  </si>
  <si>
    <t>9BWGF07X07P007585</t>
  </si>
  <si>
    <t>EBA ESC. BELAS ARTES</t>
  </si>
  <si>
    <t>EBA - LOGISTICA E SERV.OPERAC.</t>
  </si>
  <si>
    <t>MIS/CAMION./C.FECHADA</t>
  </si>
  <si>
    <t>9BWGF07X57P007064</t>
  </si>
  <si>
    <t>EEFFTO ESC. EDUC. FIS. FISIO.TERAP. OCUP</t>
  </si>
  <si>
    <t>EEFFTO-SERVICOS GERAIS</t>
  </si>
  <si>
    <t>9BWGF07X98P019316</t>
  </si>
  <si>
    <t>9BWMF07X89P017013</t>
  </si>
  <si>
    <t>9BWMF07X2CP017984</t>
  </si>
  <si>
    <t>9BWMF07X8CP018010</t>
  </si>
  <si>
    <t>9BWMF07X3BP017989</t>
  </si>
  <si>
    <t>9BWMF07X0DP015359</t>
  </si>
  <si>
    <t>9BWMF07X89P016959</t>
  </si>
  <si>
    <t>9BWGF07X08P019317</t>
  </si>
  <si>
    <t>IGC CASA GLORIA</t>
  </si>
  <si>
    <t>9BWMF07X5BP018089</t>
  </si>
  <si>
    <t>CP SERVIÇOS GERAIS</t>
  </si>
  <si>
    <t>9BWGB07X51P008332</t>
  </si>
  <si>
    <t>9BWMF07X99P017067</t>
  </si>
  <si>
    <t>9BD11960DJ1145868</t>
  </si>
  <si>
    <t>REI-GABINETE REITOR ADM</t>
  </si>
  <si>
    <t>REI-NUCLEO DE ACESSIBILIDADE E INCLUSAO</t>
  </si>
  <si>
    <t>9BWGF07X67P006974</t>
  </si>
  <si>
    <t>9BWMF07X6BP003472</t>
  </si>
  <si>
    <t>9BWMF07X5CP017753</t>
  </si>
  <si>
    <t>9BWMF07X6DP015298</t>
  </si>
  <si>
    <t>9BWMF07X8CP017911</t>
  </si>
  <si>
    <t>PRA-DLO-MALOTE</t>
  </si>
  <si>
    <t>9BWGFO7X18P018578</t>
  </si>
  <si>
    <t>9BWGB07X56P003008</t>
  </si>
  <si>
    <t>DOACAO-CONTRATO-05168-D</t>
  </si>
  <si>
    <t>9BWGF07X58P019295</t>
  </si>
  <si>
    <t>BIBLIOT. UNIVERST</t>
  </si>
  <si>
    <t>BIBLIOT.UNIVERSIT. SGER</t>
  </si>
  <si>
    <t>9BWGF07X37P007032</t>
  </si>
  <si>
    <t>9bwmf07x8dp015299</t>
  </si>
  <si>
    <t>9BWMF07X0DP008914</t>
  </si>
  <si>
    <t>9BWMF07X7DP015360</t>
  </si>
  <si>
    <t>9BWGFO7X38PO19358</t>
  </si>
  <si>
    <t>9BWMF07X6BP003388</t>
  </si>
  <si>
    <t>9BWGF07X18P018452</t>
  </si>
  <si>
    <t>9BWMF07X3CP017766</t>
  </si>
  <si>
    <t>9BWMF07X0BP017612</t>
  </si>
  <si>
    <t xml:space="preserve">DEMAI HIDRAULICA </t>
  </si>
  <si>
    <t>94DCEUD226J725331</t>
  </si>
  <si>
    <t>DOACAO CONTRATO Nº 114/2007</t>
  </si>
  <si>
    <t>FAC. MEDICINA-NESCON</t>
  </si>
  <si>
    <t>MIS/CAMION./CAB. DUPLA</t>
  </si>
  <si>
    <t>93XHNK7407C730041</t>
  </si>
  <si>
    <t xml:space="preserve">DOACAO </t>
  </si>
  <si>
    <t>FAC. MEDICINA-PROJ. MANOELZAO</t>
  </si>
  <si>
    <t>9BG148FK0GC423960</t>
  </si>
  <si>
    <t>9BG138AC03C401046</t>
  </si>
  <si>
    <t>DOACAO - CONTRATO 03140-D</t>
  </si>
  <si>
    <t>ICB-BOTANICA</t>
  </si>
  <si>
    <t>94DVCGD409J276875</t>
  </si>
  <si>
    <t xml:space="preserve">DOACAO CONTRATO 06772-D </t>
  </si>
  <si>
    <t>8AG116DJ09R702379</t>
  </si>
  <si>
    <t>DOACAO CONTRATO-6563-D</t>
  </si>
  <si>
    <t>MIS/UTILITARIO/JIPE</t>
  </si>
  <si>
    <t>93YADC1L6DJ472147</t>
  </si>
  <si>
    <t>DOAÇÃO</t>
  </si>
  <si>
    <t xml:space="preserve">ONIBUS </t>
  </si>
  <si>
    <t>9BD15822774948345</t>
  </si>
  <si>
    <t>ARQ-ESC. ARQUITETURA</t>
  </si>
  <si>
    <t>ARQ-GABINETE</t>
  </si>
  <si>
    <t>PAS/AUTOMOVEL</t>
  </si>
  <si>
    <t>9BWPB45Z0D4076670</t>
  </si>
  <si>
    <t>EBA DIRETORIA</t>
  </si>
  <si>
    <t>9BD17140A85178053</t>
  </si>
  <si>
    <t>ESC. CIENC. INFORMACAO</t>
  </si>
  <si>
    <t>ESC. CIENC. INFORMACAO-SGER</t>
  </si>
  <si>
    <t>9BWPB45Z4D4077188</t>
  </si>
  <si>
    <t>EEFFTO-GABINETE DO DIRETOR</t>
  </si>
  <si>
    <t>9BWPB45Z9C4126528</t>
  </si>
  <si>
    <t>9BWPB45Z3D4165200</t>
  </si>
  <si>
    <t>8AWPB45Z5EA508742</t>
  </si>
  <si>
    <t>8AWPB45Z5EA508689</t>
  </si>
  <si>
    <t>9BWPB05ZXC4027175</t>
  </si>
  <si>
    <t>9BFZF55P398375104</t>
  </si>
  <si>
    <t>ESC. MUSICA</t>
  </si>
  <si>
    <t>ESC. MUSICA-SERVICOS GERAIS</t>
  </si>
  <si>
    <t>9BWPB45Z9D4077512</t>
  </si>
  <si>
    <t>9BD27803MA7232425</t>
  </si>
  <si>
    <t>DOACAO CONTRATO 009899-D</t>
  </si>
  <si>
    <t>9BGXL75G08C188437</t>
  </si>
  <si>
    <t>DOACAO CONTRATO-06634-D</t>
  </si>
  <si>
    <t>VET - CLINICA E CIRURG. VET</t>
  </si>
  <si>
    <t>9BFZF55P898375101</t>
  </si>
  <si>
    <t>FAE FAC. EDUCACAO</t>
  </si>
  <si>
    <t>FAE GABINETE</t>
  </si>
  <si>
    <t>9BD17140A85178052</t>
  </si>
  <si>
    <t>FAR. FARMACIA</t>
  </si>
  <si>
    <t>FAR--SERVICOS GERAIS</t>
  </si>
  <si>
    <t>9BWPB45Z6E4164222</t>
  </si>
  <si>
    <t xml:space="preserve">FAFICH-SERVICOS GERAIS </t>
  </si>
  <si>
    <t>9BD17201M93488219</t>
  </si>
  <si>
    <t>DOACAO CONTRATO-196/2009</t>
  </si>
  <si>
    <t>9BD17307MB4341858</t>
  </si>
  <si>
    <t>DOACAO TERMO 3535/2010</t>
  </si>
  <si>
    <t>9BGKS69V0KG347561</t>
  </si>
  <si>
    <t>9BD11055691505213</t>
  </si>
  <si>
    <t>DOACAO CONT.009173-D</t>
  </si>
  <si>
    <t>9BFZF55P198375103</t>
  </si>
  <si>
    <t>8AWPB45Z0DA516293</t>
  </si>
  <si>
    <t>9BWPB45Z2E4042067</t>
  </si>
  <si>
    <t>9BWPB45Z6E4163216</t>
  </si>
  <si>
    <t>93Y4SRFH4JJ287689</t>
  </si>
  <si>
    <t>93Y4SRFH4JJ287849</t>
  </si>
  <si>
    <t>8AP359A2SKU047654</t>
  </si>
  <si>
    <t>8AP359A2SKU048951</t>
  </si>
  <si>
    <t>8AP359A2SKU048960</t>
  </si>
  <si>
    <t>8AP359A2SKU039067</t>
  </si>
  <si>
    <t>9BD17309TA4288570</t>
  </si>
  <si>
    <t>DOACAO CONTRATO 06771-D</t>
  </si>
  <si>
    <t>9BD15822AD6768361</t>
  </si>
  <si>
    <t>9BWPB45Z8D4076528</t>
  </si>
  <si>
    <t>9BWPB45Z7D4167872</t>
  </si>
  <si>
    <t>9BWGB07X35P007203</t>
  </si>
  <si>
    <t>9BD15822774948324</t>
  </si>
  <si>
    <t>9BWPB45Z2C4143185</t>
  </si>
  <si>
    <t>9BWPB45Z9C4147413</t>
  </si>
  <si>
    <t>9BWDB05W57T099177</t>
  </si>
  <si>
    <t>INST. CIENC. EXATAS-OBSERV. ASTRON</t>
  </si>
  <si>
    <t>9BD15822774948501</t>
  </si>
  <si>
    <t>8AWPB45Z2CA519386</t>
  </si>
  <si>
    <t>9BWPB45Z6E4164138</t>
  </si>
  <si>
    <t>9BD15804AA6358121</t>
  </si>
  <si>
    <t>DOACAO CONTRATO 08186-D</t>
  </si>
  <si>
    <t>9BD11985451024399</t>
  </si>
  <si>
    <t>IGC CENTRO PESQ.PLANEJ.TURISTICO</t>
  </si>
  <si>
    <t>9BD17140A85178059</t>
  </si>
  <si>
    <t>9BWPB05Z0C4051341</t>
  </si>
  <si>
    <t>9BD15822AB6547454</t>
  </si>
  <si>
    <t>9BD17309C64165670</t>
  </si>
  <si>
    <t>DOACAO  TERMO 2013000045</t>
  </si>
  <si>
    <t>9BD195152F0652925</t>
  </si>
  <si>
    <t>3N1AB6AD8BL600793</t>
  </si>
  <si>
    <t>REI-SECRETARIA ADMINISTRATIVA</t>
  </si>
  <si>
    <t>3N1AB6AD1BL600523</t>
  </si>
  <si>
    <t>8A1LZBW2TEL265424</t>
  </si>
  <si>
    <t>DOAÇÃO TRT</t>
  </si>
  <si>
    <t>REI-SECRETARIA EXECUTIVA</t>
  </si>
  <si>
    <t>8A1LZBW2TEL265496</t>
  </si>
  <si>
    <t>8A1LZBW2TEL266386</t>
  </si>
  <si>
    <t xml:space="preserve">DOAÇÃO TRT </t>
  </si>
  <si>
    <t>9BD15822774948429</t>
  </si>
  <si>
    <t>DDCS-DIR. DIV. COMUN. SOCIAL</t>
  </si>
  <si>
    <t>DDCS-SEC. ADM</t>
  </si>
  <si>
    <t>8AWPB45Z8DA517255</t>
  </si>
  <si>
    <t>DDCS CEDECOM TV UFMG</t>
  </si>
  <si>
    <t>9BWDB05W17T137620</t>
  </si>
  <si>
    <t>DAC</t>
  </si>
  <si>
    <t>DAC-SEC. ADM</t>
  </si>
  <si>
    <t>9BWPB45ZXE4134754</t>
  </si>
  <si>
    <t>9BFZF55P998375107</t>
  </si>
  <si>
    <t xml:space="preserve">COMPRA </t>
  </si>
  <si>
    <t>PRA-SEC. ADM</t>
  </si>
  <si>
    <t>9BWPB45ZXD4165548</t>
  </si>
  <si>
    <t>9BWPB45Z4D4159339</t>
  </si>
  <si>
    <t>PRA-DLO-SEC. ADM</t>
  </si>
  <si>
    <t>9BD17309TA4271287</t>
  </si>
  <si>
    <t>DOACAO CONTRATO-06770-D</t>
  </si>
  <si>
    <t>9BD17309944093531</t>
  </si>
  <si>
    <t>9BD17140A85177889</t>
  </si>
  <si>
    <t>9BD17140A85178064</t>
  </si>
  <si>
    <t>9BFZF55P598375105</t>
  </si>
  <si>
    <t>9BFZF55P5B8164718</t>
  </si>
  <si>
    <t>9BWPB45Z7D4076603</t>
  </si>
  <si>
    <t>9BWPB45Z3D4165410</t>
  </si>
  <si>
    <t>935ZBWMMBD2111026</t>
  </si>
  <si>
    <t>9BD17201A73275167</t>
  </si>
  <si>
    <t>9BWDB45UXDT092792</t>
  </si>
  <si>
    <t>DOACAO CONTRATO 08298-D</t>
  </si>
  <si>
    <t>9BD15822774948450</t>
  </si>
  <si>
    <t>9BD15822774948560</t>
  </si>
  <si>
    <t>9BD15822524364963</t>
  </si>
  <si>
    <t>DOACAO CONT. 08055-D</t>
  </si>
  <si>
    <t>9BWDB05W08T039079</t>
  </si>
  <si>
    <t>DOACAO CONTRATO 05559-D</t>
  </si>
  <si>
    <t>9BD15822786119895</t>
  </si>
  <si>
    <t>DOACAO CONTRATO 08863-D</t>
  </si>
  <si>
    <t>PRA-IMPRENSA-SEC ADM</t>
  </si>
  <si>
    <t>9BD15822774948253</t>
  </si>
  <si>
    <t>9BFZF55P798375106</t>
  </si>
  <si>
    <t>9BD17140A85178018</t>
  </si>
  <si>
    <t>93YLSR7GH9J235879</t>
  </si>
  <si>
    <t>DOACAO TERMO 2013000044</t>
  </si>
  <si>
    <t>9BFZF55P7B8164638</t>
  </si>
  <si>
    <t>PROEX</t>
  </si>
  <si>
    <t>PROEX-SEC. ADM</t>
  </si>
  <si>
    <t>93YJA15256J755234</t>
  </si>
  <si>
    <t>DOACAO CONTRATO Num. 05436-D</t>
  </si>
  <si>
    <t>PROGRAD-COPEVE-SEC. ADM</t>
  </si>
  <si>
    <t>9BD17309934090063</t>
  </si>
  <si>
    <t>CEU</t>
  </si>
  <si>
    <t>CEU-SGER</t>
  </si>
  <si>
    <t>9BD15822774947763</t>
  </si>
  <si>
    <t>9BD15822774947782</t>
  </si>
  <si>
    <t>9BD27803MA7234148</t>
  </si>
  <si>
    <t>DOACAO CONTRATO 08670 D</t>
  </si>
  <si>
    <t>9BD15822786119795</t>
  </si>
  <si>
    <t>DOACAO CONTRATO 08671-D</t>
  </si>
  <si>
    <t>DEMAI CAMPUS 2000</t>
  </si>
  <si>
    <t>9BD27801D87070549</t>
  </si>
  <si>
    <t>DOACAO CONTRATO 08670-D</t>
  </si>
  <si>
    <t>9BD15822AA6396482</t>
  </si>
  <si>
    <t>9BD27803MA7234146</t>
  </si>
  <si>
    <t>DOACAO CONTRATO 08881-D</t>
  </si>
  <si>
    <t>WF0DXXTBFBTT25315</t>
  </si>
  <si>
    <t>DOACAO CONTRATO 010086-D</t>
  </si>
  <si>
    <t>PAS/MICROONIBUS</t>
  </si>
  <si>
    <t>93ZK53C01D8445476</t>
  </si>
  <si>
    <t>8AC690341VA503492</t>
  </si>
  <si>
    <t>93W245L34B2070926</t>
  </si>
  <si>
    <t>8AC906657EE090205</t>
  </si>
  <si>
    <t>8AC906633EE089014</t>
  </si>
  <si>
    <t>8AC906633GE112812</t>
  </si>
  <si>
    <t>3C6EFVEK7KE521150</t>
  </si>
  <si>
    <t>8AC690341VA510348</t>
  </si>
  <si>
    <t>8AC904663BE039500</t>
  </si>
  <si>
    <t>93ZK53C01D8445457</t>
  </si>
  <si>
    <t>8AC906657FE104190</t>
  </si>
  <si>
    <t>93ZK53B01C8436673</t>
  </si>
  <si>
    <t>93PB12E3PBC035039</t>
  </si>
  <si>
    <t>93W244M24B2067595</t>
  </si>
  <si>
    <t>8AC6903411A545194</t>
  </si>
  <si>
    <t>93ZK53B01C8436606</t>
  </si>
  <si>
    <t>93W244M2382019405</t>
  </si>
  <si>
    <t>9C2JD1700XR020454</t>
  </si>
  <si>
    <t>PAS/MOTOCICLETA</t>
  </si>
  <si>
    <t>9C2JD1700XR019073</t>
  </si>
  <si>
    <t>9BWR682WX5R530359</t>
  </si>
  <si>
    <t>PAS/ONIBUS</t>
  </si>
  <si>
    <t>9BYC51A1A9C000696</t>
  </si>
  <si>
    <t>9BM979277HB045550</t>
  </si>
  <si>
    <t>93PB88S31JC059510</t>
  </si>
  <si>
    <t>93PB40N31EC052255</t>
  </si>
  <si>
    <t>FAE SERVICOS GERAIS</t>
  </si>
  <si>
    <t>93PB40N31CC041091</t>
  </si>
  <si>
    <t>FAFICH CIENCIAS SOCIAIS AMBIENTAIS</t>
  </si>
  <si>
    <t>9BM384073YB215785</t>
  </si>
  <si>
    <t>93PB40N31CC041321</t>
  </si>
  <si>
    <t>9BYC51A1A9C000695</t>
  </si>
  <si>
    <t>93PB40N31EC052334</t>
  </si>
  <si>
    <t>93PB40N31EC052335</t>
  </si>
  <si>
    <t>9532K82WXJR810571</t>
  </si>
  <si>
    <t>9BYC22Y1SAC005037</t>
  </si>
  <si>
    <t>9BWRF82W14R408486</t>
  </si>
  <si>
    <t>9BYC69A1AEC000096</t>
  </si>
  <si>
    <t>9BSKC4X2Z03453855</t>
  </si>
  <si>
    <t>DOACAO PROC.10670.001330/2009-20</t>
  </si>
  <si>
    <t>9BWY2TJBX1RY14514</t>
  </si>
  <si>
    <t>9BYC32Y1U7C000560</t>
  </si>
  <si>
    <t>9BM634011BB750235</t>
  </si>
  <si>
    <t>93PB40N31CC041322</t>
  </si>
  <si>
    <t>9BWV2RF67YRY13848</t>
  </si>
  <si>
    <t>93XLJKL1TLCK25990</t>
  </si>
  <si>
    <t>PICK-UP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</si>
</sst>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0" borderId="0" xfId="0" applyAlignment="1">
      <alignment horizontal="center"/>
    </xf>
    <xf numFmtId="0" fontId="13" fillId="33" borderId="10" xfId="0" applyFont="1" applyFill="1" applyBorder="1"/>
    <xf numFmtId="0" fontId="0" fillId="0" borderId="10" xfId="0" applyBorder="1"/>
    <xf numFmtId="0" fontId="13" fillId="33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3" fillId="33" borderId="10" xfId="0" applyFont="1" applyFill="1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>
                <a:effectLst/>
              </a:rPr>
              <a:t>4. Quantos veículos utilizam cada tipo de combustível?</a:t>
            </a:r>
            <a:r>
              <a:rPr lang="pt-BR" sz="1400" b="0" i="0" u="none" strike="noStrike" baseline="0"/>
              <a:t>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719-446E-8808-2EBBEBA8AE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719-446E-8808-2EBBEBA8AE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719-446E-8808-2EBBEBA8AEF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719-446E-8808-2EBBEBA8AEF8}"/>
              </c:ext>
            </c:extLst>
          </c:dPt>
          <c:cat>
            <c:strRef>
              <c:f>Atividade!$A$11:$A$14</c:f>
              <c:strCache>
                <c:ptCount val="4"/>
                <c:pt idx="0">
                  <c:v>Diesel</c:v>
                </c:pt>
                <c:pt idx="1">
                  <c:v>Gasolina</c:v>
                </c:pt>
                <c:pt idx="2">
                  <c:v>Flex</c:v>
                </c:pt>
                <c:pt idx="3">
                  <c:v>Outros</c:v>
                </c:pt>
              </c:strCache>
            </c:strRef>
          </c:cat>
          <c:val>
            <c:numRef>
              <c:f>Atividade!$B$11:$B$14</c:f>
              <c:numCache>
                <c:formatCode>General</c:formatCode>
                <c:ptCount val="4"/>
                <c:pt idx="0">
                  <c:v>84</c:v>
                </c:pt>
                <c:pt idx="1">
                  <c:v>61</c:v>
                </c:pt>
                <c:pt idx="2">
                  <c:v>70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92-4320-A994-3DDAB1D7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pt-BR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1. Quantos veículos estão em cada estado de conservação?</a:t>
            </a:r>
            <a:r>
              <a:rPr lang="pt-BR"/>
              <a:t> </a:t>
            </a:r>
            <a:endPara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sunburst" uniqueId="{124B91B6-016F-498E-9138-DC987AB9A3F9}">
          <cx:tx>
            <cx:txData>
              <cx:f>_xlchart.v1.1</cx:f>
              <cx:v/>
            </cx:txData>
          </cx:tx>
          <cx:dataLabels pos="ctr"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1" value="0"/>
          </cx:dataLabels>
          <cx:dataId val="0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17</xdr:row>
      <xdr:rowOff>71437</xdr:rowOff>
    </xdr:from>
    <xdr:to>
      <xdr:col>3</xdr:col>
      <xdr:colOff>85725</xdr:colOff>
      <xdr:row>31</xdr:row>
      <xdr:rowOff>147637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324ACFAC-3635-4B27-820A-9249D6BC16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Este gráfico não está disponível na sua versão do Excel.
Editar esta forma ou salvar esta pasta de trabalho em um formato de arquivo diferente dividirá o gráfico permanentemente.</a:t>
              </a:r>
            </a:p>
          </xdr:txBody>
        </xdr:sp>
      </mc:Fallback>
    </mc:AlternateContent>
    <xdr:clientData/>
  </xdr:twoCellAnchor>
  <xdr:twoCellAnchor>
    <xdr:from>
      <xdr:col>3</xdr:col>
      <xdr:colOff>1162050</xdr:colOff>
      <xdr:row>16</xdr:row>
      <xdr:rowOff>166687</xdr:rowOff>
    </xdr:from>
    <xdr:to>
      <xdr:col>10</xdr:col>
      <xdr:colOff>561975</xdr:colOff>
      <xdr:row>31</xdr:row>
      <xdr:rowOff>52387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1BF2DCC-1114-49FB-B4EA-9ECEE98F76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5E462-FCFB-409E-8723-DB80898BA35D}">
  <dimension ref="A1:D239"/>
  <sheetViews>
    <sheetView topLeftCell="A49" workbookViewId="0">
      <selection activeCell="B3" sqref="B3"/>
    </sheetView>
  </sheetViews>
  <sheetFormatPr defaultRowHeight="15"/>
  <cols>
    <col min="1" max="1" width="9" bestFit="1" customWidth="1"/>
    <col min="2" max="2" width="15.42578125" bestFit="1" customWidth="1"/>
    <col min="3" max="3" width="9.7109375" bestFit="1" customWidth="1"/>
    <col min="4" max="4" width="35.5703125" bestFit="1" customWidth="1"/>
  </cols>
  <sheetData>
    <row r="1" spans="1:4">
      <c r="A1" s="2" t="s">
        <v>0</v>
      </c>
      <c r="B1" s="2" t="s">
        <v>1</v>
      </c>
      <c r="C1" s="2" t="s">
        <v>2</v>
      </c>
      <c r="D1" s="2" t="s">
        <v>3</v>
      </c>
    </row>
    <row r="2" spans="1:4">
      <c r="A2">
        <v>2020</v>
      </c>
      <c r="B2" t="s">
        <v>4</v>
      </c>
      <c r="C2" t="s">
        <v>5</v>
      </c>
      <c r="D2" t="s">
        <v>6</v>
      </c>
    </row>
    <row r="3" spans="1:4">
      <c r="A3">
        <v>1995</v>
      </c>
      <c r="B3" t="s">
        <v>4</v>
      </c>
      <c r="C3" t="s">
        <v>7</v>
      </c>
      <c r="D3" t="s">
        <v>8</v>
      </c>
    </row>
    <row r="4" spans="1:4">
      <c r="A4">
        <v>2011</v>
      </c>
      <c r="B4" t="s">
        <v>9</v>
      </c>
      <c r="C4" t="s">
        <v>10</v>
      </c>
      <c r="D4" t="s">
        <v>11</v>
      </c>
    </row>
    <row r="5" spans="1:4">
      <c r="A5">
        <v>1988</v>
      </c>
      <c r="B5" t="s">
        <v>12</v>
      </c>
      <c r="C5" t="s">
        <v>13</v>
      </c>
      <c r="D5" t="s">
        <v>14</v>
      </c>
    </row>
    <row r="6" spans="1:4">
      <c r="A6">
        <v>2014</v>
      </c>
      <c r="B6" t="s">
        <v>15</v>
      </c>
      <c r="C6" t="s">
        <v>16</v>
      </c>
      <c r="D6" t="s">
        <v>17</v>
      </c>
    </row>
    <row r="7" spans="1:4">
      <c r="A7">
        <v>2012</v>
      </c>
      <c r="B7" t="s">
        <v>18</v>
      </c>
      <c r="C7" t="s">
        <v>19</v>
      </c>
      <c r="D7" t="s">
        <v>20</v>
      </c>
    </row>
    <row r="8" spans="1:4">
      <c r="A8">
        <v>1985</v>
      </c>
      <c r="B8" t="s">
        <v>12</v>
      </c>
      <c r="C8" t="s">
        <v>21</v>
      </c>
      <c r="D8" t="s">
        <v>22</v>
      </c>
    </row>
    <row r="9" spans="1:4">
      <c r="A9">
        <v>2013</v>
      </c>
      <c r="B9" t="s">
        <v>15</v>
      </c>
      <c r="C9" t="s">
        <v>23</v>
      </c>
      <c r="D9" t="s">
        <v>17</v>
      </c>
    </row>
    <row r="10" spans="1:4">
      <c r="A10">
        <v>2003</v>
      </c>
      <c r="B10" t="s">
        <v>18</v>
      </c>
      <c r="C10" t="s">
        <v>24</v>
      </c>
      <c r="D10" t="s">
        <v>25</v>
      </c>
    </row>
    <row r="11" spans="1:4">
      <c r="A11">
        <v>2013</v>
      </c>
      <c r="B11" t="s">
        <v>15</v>
      </c>
      <c r="C11" t="s">
        <v>26</v>
      </c>
      <c r="D11" t="s">
        <v>17</v>
      </c>
    </row>
    <row r="12" spans="1:4">
      <c r="A12">
        <v>2011</v>
      </c>
      <c r="B12" t="s">
        <v>27</v>
      </c>
      <c r="C12" t="s">
        <v>28</v>
      </c>
      <c r="D12" t="s">
        <v>29</v>
      </c>
    </row>
    <row r="13" spans="1:4">
      <c r="A13">
        <v>1985</v>
      </c>
      <c r="B13" t="s">
        <v>12</v>
      </c>
      <c r="C13" t="s">
        <v>30</v>
      </c>
      <c r="D13" t="s">
        <v>31</v>
      </c>
    </row>
    <row r="14" spans="1:4">
      <c r="A14">
        <v>2008</v>
      </c>
      <c r="B14" t="s">
        <v>15</v>
      </c>
      <c r="C14" t="s">
        <v>32</v>
      </c>
      <c r="D14" t="s">
        <v>33</v>
      </c>
    </row>
    <row r="15" spans="1:4">
      <c r="A15">
        <v>2012</v>
      </c>
      <c r="B15" t="s">
        <v>18</v>
      </c>
      <c r="C15" t="s">
        <v>34</v>
      </c>
      <c r="D15" t="s">
        <v>20</v>
      </c>
    </row>
    <row r="16" spans="1:4">
      <c r="A16">
        <v>2000</v>
      </c>
      <c r="B16" t="s">
        <v>12</v>
      </c>
      <c r="C16" t="s">
        <v>35</v>
      </c>
      <c r="D16" t="s">
        <v>36</v>
      </c>
    </row>
    <row r="17" spans="1:4">
      <c r="A17">
        <v>2011</v>
      </c>
      <c r="B17" t="s">
        <v>9</v>
      </c>
      <c r="C17" t="s">
        <v>37</v>
      </c>
      <c r="D17" t="s">
        <v>38</v>
      </c>
    </row>
    <row r="18" spans="1:4">
      <c r="A18">
        <v>1983</v>
      </c>
      <c r="B18" t="s">
        <v>9</v>
      </c>
      <c r="C18" t="s">
        <v>39</v>
      </c>
      <c r="D18" t="s">
        <v>40</v>
      </c>
    </row>
    <row r="19" spans="1:4">
      <c r="A19">
        <v>2001</v>
      </c>
      <c r="B19" t="s">
        <v>41</v>
      </c>
      <c r="C19" t="s">
        <v>42</v>
      </c>
      <c r="D19" t="s">
        <v>43</v>
      </c>
    </row>
    <row r="20" spans="1:4">
      <c r="A20">
        <v>2012</v>
      </c>
      <c r="B20" t="s">
        <v>41</v>
      </c>
      <c r="C20" t="s">
        <v>44</v>
      </c>
      <c r="D20" t="s">
        <v>45</v>
      </c>
    </row>
    <row r="21" spans="1:4">
      <c r="A21">
        <v>2000</v>
      </c>
      <c r="B21" t="s">
        <v>9</v>
      </c>
      <c r="C21" t="s">
        <v>46</v>
      </c>
      <c r="D21" t="s">
        <v>47</v>
      </c>
    </row>
    <row r="22" spans="1:4">
      <c r="A22">
        <v>2012</v>
      </c>
      <c r="B22" t="s">
        <v>4</v>
      </c>
      <c r="C22" t="s">
        <v>48</v>
      </c>
      <c r="D22" t="s">
        <v>49</v>
      </c>
    </row>
    <row r="23" spans="1:4">
      <c r="A23">
        <v>2004</v>
      </c>
      <c r="B23" t="s">
        <v>9</v>
      </c>
      <c r="C23" t="s">
        <v>50</v>
      </c>
      <c r="D23" t="s">
        <v>47</v>
      </c>
    </row>
    <row r="24" spans="1:4">
      <c r="A24">
        <v>1986</v>
      </c>
      <c r="B24" t="s">
        <v>4</v>
      </c>
      <c r="C24" t="s">
        <v>51</v>
      </c>
      <c r="D24" t="s">
        <v>52</v>
      </c>
    </row>
    <row r="25" spans="1:4">
      <c r="A25">
        <v>1999</v>
      </c>
      <c r="B25" t="s">
        <v>53</v>
      </c>
      <c r="C25" t="s">
        <v>54</v>
      </c>
      <c r="D25" t="s">
        <v>55</v>
      </c>
    </row>
    <row r="26" spans="1:4">
      <c r="A26">
        <v>2000</v>
      </c>
      <c r="B26" t="s">
        <v>41</v>
      </c>
      <c r="C26" t="s">
        <v>56</v>
      </c>
      <c r="D26" t="s">
        <v>45</v>
      </c>
    </row>
    <row r="27" spans="1:4">
      <c r="A27">
        <v>2012</v>
      </c>
      <c r="B27" t="s">
        <v>4</v>
      </c>
      <c r="C27" t="s">
        <v>57</v>
      </c>
      <c r="D27" t="s">
        <v>49</v>
      </c>
    </row>
    <row r="28" spans="1:4">
      <c r="A28">
        <v>2010</v>
      </c>
      <c r="B28" t="s">
        <v>9</v>
      </c>
      <c r="C28" t="s">
        <v>58</v>
      </c>
      <c r="D28" t="s">
        <v>59</v>
      </c>
    </row>
    <row r="29" spans="1:4">
      <c r="A29">
        <v>2000</v>
      </c>
      <c r="B29" t="s">
        <v>41</v>
      </c>
      <c r="C29" t="s">
        <v>60</v>
      </c>
      <c r="D29" t="s">
        <v>45</v>
      </c>
    </row>
    <row r="30" spans="1:4">
      <c r="A30">
        <v>2011</v>
      </c>
      <c r="B30" t="s">
        <v>4</v>
      </c>
      <c r="C30" t="s">
        <v>61</v>
      </c>
      <c r="D30" t="s">
        <v>62</v>
      </c>
    </row>
    <row r="31" spans="1:4">
      <c r="A31">
        <v>2011</v>
      </c>
      <c r="B31" t="s">
        <v>4</v>
      </c>
      <c r="C31" t="s">
        <v>63</v>
      </c>
      <c r="D31" t="s">
        <v>62</v>
      </c>
    </row>
    <row r="32" spans="1:4">
      <c r="A32">
        <v>2006</v>
      </c>
      <c r="B32" t="s">
        <v>18</v>
      </c>
      <c r="C32" t="s">
        <v>64</v>
      </c>
      <c r="D32" t="s">
        <v>65</v>
      </c>
    </row>
    <row r="33" spans="1:4">
      <c r="A33">
        <v>2011</v>
      </c>
      <c r="B33" t="s">
        <v>18</v>
      </c>
      <c r="C33" t="s">
        <v>66</v>
      </c>
      <c r="D33" t="s">
        <v>67</v>
      </c>
    </row>
    <row r="34" spans="1:4">
      <c r="A34">
        <v>2006</v>
      </c>
      <c r="B34" t="s">
        <v>4</v>
      </c>
      <c r="C34" t="s">
        <v>68</v>
      </c>
      <c r="D34" t="s">
        <v>69</v>
      </c>
    </row>
    <row r="35" spans="1:4">
      <c r="A35">
        <v>2008</v>
      </c>
      <c r="B35" t="s">
        <v>12</v>
      </c>
      <c r="C35" t="s">
        <v>70</v>
      </c>
      <c r="D35" t="s">
        <v>71</v>
      </c>
    </row>
    <row r="36" spans="1:4">
      <c r="A36">
        <v>1984</v>
      </c>
      <c r="B36" t="s">
        <v>72</v>
      </c>
      <c r="C36" t="s">
        <v>73</v>
      </c>
      <c r="D36" t="s">
        <v>72</v>
      </c>
    </row>
    <row r="37" spans="1:4">
      <c r="A37">
        <v>2009</v>
      </c>
      <c r="B37" t="s">
        <v>72</v>
      </c>
      <c r="C37" t="s">
        <v>74</v>
      </c>
      <c r="D37" t="s">
        <v>72</v>
      </c>
    </row>
    <row r="38" spans="1:4">
      <c r="A38">
        <v>1986</v>
      </c>
      <c r="B38" t="s">
        <v>72</v>
      </c>
      <c r="C38" t="s">
        <v>75</v>
      </c>
      <c r="D38" t="s">
        <v>72</v>
      </c>
    </row>
    <row r="39" spans="1:4">
      <c r="A39">
        <v>2006</v>
      </c>
      <c r="B39" t="s">
        <v>72</v>
      </c>
      <c r="C39" t="s">
        <v>76</v>
      </c>
      <c r="D39" t="s">
        <v>72</v>
      </c>
    </row>
    <row r="40" spans="1:4">
      <c r="A40">
        <v>1992</v>
      </c>
      <c r="B40" t="s">
        <v>72</v>
      </c>
      <c r="C40" t="s">
        <v>77</v>
      </c>
      <c r="D40" t="s">
        <v>72</v>
      </c>
    </row>
    <row r="41" spans="1:4">
      <c r="A41">
        <v>1996</v>
      </c>
      <c r="B41" t="s">
        <v>72</v>
      </c>
      <c r="C41" t="s">
        <v>78</v>
      </c>
      <c r="D41" t="s">
        <v>72</v>
      </c>
    </row>
    <row r="42" spans="1:4">
      <c r="A42">
        <v>2006</v>
      </c>
      <c r="B42" t="s">
        <v>72</v>
      </c>
      <c r="C42" t="s">
        <v>79</v>
      </c>
      <c r="D42" t="s">
        <v>72</v>
      </c>
    </row>
    <row r="43" spans="1:4">
      <c r="A43">
        <v>2011</v>
      </c>
      <c r="B43" t="s">
        <v>72</v>
      </c>
      <c r="C43" t="s">
        <v>80</v>
      </c>
      <c r="D43" t="s">
        <v>72</v>
      </c>
    </row>
    <row r="44" spans="1:4">
      <c r="A44">
        <v>2017</v>
      </c>
      <c r="B44" t="s">
        <v>72</v>
      </c>
      <c r="C44" t="s">
        <v>81</v>
      </c>
      <c r="D44" t="s">
        <v>72</v>
      </c>
    </row>
    <row r="45" spans="1:4">
      <c r="A45">
        <v>2004</v>
      </c>
      <c r="B45" t="s">
        <v>72</v>
      </c>
      <c r="C45" t="s">
        <v>82</v>
      </c>
      <c r="D45" t="s">
        <v>72</v>
      </c>
    </row>
    <row r="46" spans="1:4">
      <c r="A46">
        <v>2011</v>
      </c>
      <c r="B46" t="s">
        <v>72</v>
      </c>
      <c r="C46" t="s">
        <v>83</v>
      </c>
      <c r="D46" t="s">
        <v>72</v>
      </c>
    </row>
    <row r="47" spans="1:4">
      <c r="A47">
        <v>2003</v>
      </c>
      <c r="B47" t="s">
        <v>72</v>
      </c>
      <c r="C47" t="s">
        <v>84</v>
      </c>
      <c r="D47" t="s">
        <v>72</v>
      </c>
    </row>
    <row r="48" spans="1:4">
      <c r="A48">
        <v>2009</v>
      </c>
      <c r="B48" t="s">
        <v>85</v>
      </c>
      <c r="C48" t="s">
        <v>86</v>
      </c>
      <c r="D48" t="s">
        <v>87</v>
      </c>
    </row>
    <row r="49" spans="1:4">
      <c r="A49">
        <v>2014</v>
      </c>
      <c r="B49" t="s">
        <v>12</v>
      </c>
      <c r="C49" t="s">
        <v>88</v>
      </c>
      <c r="D49" t="s">
        <v>89</v>
      </c>
    </row>
    <row r="50" spans="1:4">
      <c r="A50">
        <v>2014</v>
      </c>
      <c r="B50" t="s">
        <v>4</v>
      </c>
      <c r="C50" t="s">
        <v>90</v>
      </c>
      <c r="D50" t="s">
        <v>91</v>
      </c>
    </row>
    <row r="51" spans="1:4">
      <c r="A51">
        <v>2012</v>
      </c>
      <c r="B51" t="s">
        <v>4</v>
      </c>
      <c r="C51" t="s">
        <v>92</v>
      </c>
      <c r="D51" t="s">
        <v>91</v>
      </c>
    </row>
    <row r="52" spans="1:4">
      <c r="A52">
        <v>2014</v>
      </c>
      <c r="B52" t="s">
        <v>4</v>
      </c>
      <c r="C52" t="s">
        <v>93</v>
      </c>
      <c r="D52" t="s">
        <v>91</v>
      </c>
    </row>
    <row r="53" spans="1:4">
      <c r="A53">
        <v>2013</v>
      </c>
      <c r="B53" t="s">
        <v>4</v>
      </c>
      <c r="C53" t="s">
        <v>94</v>
      </c>
      <c r="D53" t="s">
        <v>91</v>
      </c>
    </row>
    <row r="54" spans="1:4">
      <c r="A54">
        <v>2011</v>
      </c>
      <c r="B54" t="s">
        <v>4</v>
      </c>
      <c r="C54" t="s">
        <v>95</v>
      </c>
      <c r="D54" t="s">
        <v>91</v>
      </c>
    </row>
    <row r="55" spans="1:4">
      <c r="A55">
        <v>2014</v>
      </c>
      <c r="B55" t="s">
        <v>4</v>
      </c>
      <c r="C55" t="s">
        <v>96</v>
      </c>
      <c r="D55" t="s">
        <v>91</v>
      </c>
    </row>
    <row r="56" spans="1:4">
      <c r="A56">
        <v>2013</v>
      </c>
      <c r="B56" t="s">
        <v>4</v>
      </c>
      <c r="C56" t="s">
        <v>97</v>
      </c>
      <c r="D56" t="s">
        <v>91</v>
      </c>
    </row>
    <row r="57" spans="1:4">
      <c r="A57">
        <v>2012</v>
      </c>
      <c r="B57" t="s">
        <v>4</v>
      </c>
      <c r="C57" t="s">
        <v>98</v>
      </c>
      <c r="D57" t="s">
        <v>91</v>
      </c>
    </row>
    <row r="58" spans="1:4">
      <c r="A58">
        <v>2014</v>
      </c>
      <c r="B58" t="s">
        <v>53</v>
      </c>
      <c r="C58" t="s">
        <v>99</v>
      </c>
      <c r="D58" t="s">
        <v>100</v>
      </c>
    </row>
    <row r="59" spans="1:4">
      <c r="A59">
        <v>2012</v>
      </c>
      <c r="B59" t="s">
        <v>4</v>
      </c>
      <c r="C59" t="s">
        <v>101</v>
      </c>
      <c r="D59" t="s">
        <v>91</v>
      </c>
    </row>
    <row r="60" spans="1:4">
      <c r="A60">
        <v>2012</v>
      </c>
      <c r="B60" t="s">
        <v>4</v>
      </c>
      <c r="C60" t="s">
        <v>102</v>
      </c>
      <c r="D60" t="s">
        <v>91</v>
      </c>
    </row>
    <row r="61" spans="1:4">
      <c r="A61">
        <v>2012</v>
      </c>
      <c r="B61" t="s">
        <v>4</v>
      </c>
      <c r="C61" t="s">
        <v>103</v>
      </c>
      <c r="D61" t="s">
        <v>91</v>
      </c>
    </row>
    <row r="62" spans="1:4">
      <c r="A62">
        <v>2012</v>
      </c>
      <c r="B62" t="s">
        <v>4</v>
      </c>
      <c r="C62" t="s">
        <v>104</v>
      </c>
      <c r="D62" t="s">
        <v>91</v>
      </c>
    </row>
    <row r="63" spans="1:4">
      <c r="A63">
        <v>2006</v>
      </c>
      <c r="B63" t="s">
        <v>105</v>
      </c>
      <c r="C63" t="s">
        <v>106</v>
      </c>
      <c r="D63" t="s">
        <v>107</v>
      </c>
    </row>
    <row r="64" spans="1:4">
      <c r="A64">
        <v>2006</v>
      </c>
      <c r="B64" t="s">
        <v>105</v>
      </c>
      <c r="C64" t="s">
        <v>108</v>
      </c>
      <c r="D64" t="s">
        <v>107</v>
      </c>
    </row>
    <row r="65" spans="1:4">
      <c r="A65">
        <v>2006</v>
      </c>
      <c r="B65" t="s">
        <v>105</v>
      </c>
      <c r="C65" t="s">
        <v>109</v>
      </c>
      <c r="D65" t="s">
        <v>107</v>
      </c>
    </row>
    <row r="66" spans="1:4">
      <c r="A66">
        <v>2006</v>
      </c>
      <c r="B66" t="s">
        <v>105</v>
      </c>
      <c r="C66" t="s">
        <v>110</v>
      </c>
      <c r="D66" t="s">
        <v>107</v>
      </c>
    </row>
    <row r="67" spans="1:4">
      <c r="A67">
        <v>2001</v>
      </c>
      <c r="B67" t="s">
        <v>41</v>
      </c>
      <c r="C67" t="s">
        <v>111</v>
      </c>
      <c r="D67" t="s">
        <v>112</v>
      </c>
    </row>
    <row r="68" spans="1:4">
      <c r="A68">
        <v>2006</v>
      </c>
      <c r="B68" t="s">
        <v>4</v>
      </c>
      <c r="C68" t="s">
        <v>113</v>
      </c>
      <c r="D68" t="s">
        <v>114</v>
      </c>
    </row>
    <row r="69" spans="1:4">
      <c r="A69">
        <v>2006</v>
      </c>
      <c r="B69" t="s">
        <v>4</v>
      </c>
      <c r="C69" t="s">
        <v>115</v>
      </c>
      <c r="D69" t="s">
        <v>114</v>
      </c>
    </row>
    <row r="70" spans="1:4">
      <c r="A70">
        <v>2008</v>
      </c>
      <c r="B70" t="s">
        <v>4</v>
      </c>
      <c r="C70" t="s">
        <v>116</v>
      </c>
      <c r="D70" t="s">
        <v>114</v>
      </c>
    </row>
    <row r="71" spans="1:4">
      <c r="A71">
        <v>2008</v>
      </c>
      <c r="B71" t="s">
        <v>4</v>
      </c>
      <c r="C71" t="s">
        <v>117</v>
      </c>
      <c r="D71" t="s">
        <v>114</v>
      </c>
    </row>
    <row r="72" spans="1:4">
      <c r="A72">
        <v>2011</v>
      </c>
      <c r="B72" t="s">
        <v>4</v>
      </c>
      <c r="C72" t="s">
        <v>118</v>
      </c>
      <c r="D72" t="s">
        <v>114</v>
      </c>
    </row>
    <row r="73" spans="1:4">
      <c r="A73">
        <v>2011</v>
      </c>
      <c r="B73" t="s">
        <v>4</v>
      </c>
      <c r="C73" t="s">
        <v>119</v>
      </c>
      <c r="D73" t="s">
        <v>114</v>
      </c>
    </row>
    <row r="74" spans="1:4">
      <c r="A74">
        <v>2010</v>
      </c>
      <c r="B74" t="s">
        <v>4</v>
      </c>
      <c r="C74" t="s">
        <v>120</v>
      </c>
      <c r="D74" t="s">
        <v>114</v>
      </c>
    </row>
    <row r="75" spans="1:4">
      <c r="A75">
        <v>2012</v>
      </c>
      <c r="B75" t="s">
        <v>4</v>
      </c>
      <c r="C75" t="s">
        <v>121</v>
      </c>
      <c r="D75" t="s">
        <v>122</v>
      </c>
    </row>
    <row r="76" spans="1:4">
      <c r="A76">
        <v>2008</v>
      </c>
      <c r="B76" t="s">
        <v>4</v>
      </c>
      <c r="C76" t="s">
        <v>123</v>
      </c>
      <c r="D76" t="s">
        <v>114</v>
      </c>
    </row>
    <row r="77" spans="1:4">
      <c r="A77">
        <v>2008</v>
      </c>
      <c r="B77" t="s">
        <v>4</v>
      </c>
      <c r="C77" t="s">
        <v>124</v>
      </c>
      <c r="D77" t="s">
        <v>114</v>
      </c>
    </row>
    <row r="78" spans="1:4">
      <c r="A78">
        <v>2010</v>
      </c>
      <c r="B78" t="s">
        <v>4</v>
      </c>
      <c r="C78" t="s">
        <v>125</v>
      </c>
      <c r="D78" t="s">
        <v>114</v>
      </c>
    </row>
    <row r="79" spans="1:4">
      <c r="A79">
        <v>2000</v>
      </c>
      <c r="B79" t="s">
        <v>4</v>
      </c>
      <c r="C79" t="s">
        <v>126</v>
      </c>
      <c r="D79" t="s">
        <v>114</v>
      </c>
    </row>
    <row r="80" spans="1:4">
      <c r="A80">
        <v>2008</v>
      </c>
      <c r="B80" t="s">
        <v>4</v>
      </c>
      <c r="C80" t="s">
        <v>127</v>
      </c>
      <c r="D80" t="s">
        <v>114</v>
      </c>
    </row>
    <row r="81" spans="1:4">
      <c r="A81">
        <v>2018</v>
      </c>
      <c r="B81" t="s">
        <v>53</v>
      </c>
      <c r="C81" t="s">
        <v>128</v>
      </c>
      <c r="D81" t="s">
        <v>129</v>
      </c>
    </row>
    <row r="82" spans="1:4">
      <c r="A82">
        <v>2006</v>
      </c>
      <c r="B82" t="s">
        <v>4</v>
      </c>
      <c r="C82" t="s">
        <v>130</v>
      </c>
      <c r="D82" t="s">
        <v>114</v>
      </c>
    </row>
    <row r="83" spans="1:4">
      <c r="A83">
        <v>2010</v>
      </c>
      <c r="B83" t="s">
        <v>4</v>
      </c>
      <c r="C83" t="s">
        <v>131</v>
      </c>
      <c r="D83" t="s">
        <v>114</v>
      </c>
    </row>
    <row r="84" spans="1:4">
      <c r="A84">
        <v>2011</v>
      </c>
      <c r="B84" t="s">
        <v>4</v>
      </c>
      <c r="C84" t="s">
        <v>132</v>
      </c>
      <c r="D84" t="s">
        <v>114</v>
      </c>
    </row>
    <row r="85" spans="1:4">
      <c r="A85">
        <v>2012</v>
      </c>
      <c r="B85" t="s">
        <v>4</v>
      </c>
      <c r="C85" t="s">
        <v>133</v>
      </c>
      <c r="D85" t="s">
        <v>122</v>
      </c>
    </row>
    <row r="86" spans="1:4">
      <c r="A86">
        <v>2011</v>
      </c>
      <c r="B86" t="s">
        <v>4</v>
      </c>
      <c r="C86" t="s">
        <v>134</v>
      </c>
      <c r="D86" t="s">
        <v>114</v>
      </c>
    </row>
    <row r="87" spans="1:4">
      <c r="A87">
        <v>2008</v>
      </c>
      <c r="B87" t="s">
        <v>4</v>
      </c>
      <c r="C87" t="s">
        <v>135</v>
      </c>
      <c r="D87" t="s">
        <v>114</v>
      </c>
    </row>
    <row r="88" spans="1:4">
      <c r="A88">
        <v>2005</v>
      </c>
      <c r="B88" t="s">
        <v>4</v>
      </c>
      <c r="C88" t="s">
        <v>136</v>
      </c>
      <c r="D88" t="s">
        <v>114</v>
      </c>
    </row>
    <row r="89" spans="1:4">
      <c r="A89">
        <v>2008</v>
      </c>
      <c r="B89" t="s">
        <v>4</v>
      </c>
      <c r="C89" t="s">
        <v>137</v>
      </c>
      <c r="D89" t="s">
        <v>114</v>
      </c>
    </row>
    <row r="90" spans="1:4">
      <c r="A90">
        <v>2006</v>
      </c>
      <c r="B90" t="s">
        <v>4</v>
      </c>
      <c r="C90" t="s">
        <v>138</v>
      </c>
      <c r="D90" t="s">
        <v>114</v>
      </c>
    </row>
    <row r="91" spans="1:4">
      <c r="A91">
        <v>2012</v>
      </c>
      <c r="B91" t="s">
        <v>4</v>
      </c>
      <c r="C91" t="s">
        <v>139</v>
      </c>
      <c r="D91" t="s">
        <v>122</v>
      </c>
    </row>
    <row r="92" spans="1:4">
      <c r="A92">
        <v>2012</v>
      </c>
      <c r="B92" t="s">
        <v>4</v>
      </c>
      <c r="C92" t="s">
        <v>140</v>
      </c>
      <c r="D92" t="s">
        <v>122</v>
      </c>
    </row>
    <row r="93" spans="1:4">
      <c r="A93">
        <v>2012</v>
      </c>
      <c r="B93" t="s">
        <v>4</v>
      </c>
      <c r="C93" t="s">
        <v>141</v>
      </c>
      <c r="D93" t="s">
        <v>122</v>
      </c>
    </row>
    <row r="94" spans="1:4">
      <c r="A94">
        <v>2008</v>
      </c>
      <c r="B94" t="s">
        <v>4</v>
      </c>
      <c r="C94" t="s">
        <v>142</v>
      </c>
      <c r="D94" t="s">
        <v>114</v>
      </c>
    </row>
    <row r="95" spans="1:4">
      <c r="A95">
        <v>2010</v>
      </c>
      <c r="B95" t="s">
        <v>4</v>
      </c>
      <c r="C95" t="s">
        <v>143</v>
      </c>
      <c r="D95" t="s">
        <v>114</v>
      </c>
    </row>
    <row r="96" spans="1:4">
      <c r="A96">
        <v>2008</v>
      </c>
      <c r="B96" t="s">
        <v>4</v>
      </c>
      <c r="C96" t="s">
        <v>144</v>
      </c>
      <c r="D96" t="s">
        <v>114</v>
      </c>
    </row>
    <row r="97" spans="1:4">
      <c r="A97">
        <v>2011</v>
      </c>
      <c r="B97" t="s">
        <v>4</v>
      </c>
      <c r="C97" t="s">
        <v>145</v>
      </c>
      <c r="D97" t="s">
        <v>114</v>
      </c>
    </row>
    <row r="98" spans="1:4">
      <c r="A98">
        <v>2010</v>
      </c>
      <c r="B98" t="s">
        <v>4</v>
      </c>
      <c r="C98" t="s">
        <v>146</v>
      </c>
      <c r="D98" t="s">
        <v>114</v>
      </c>
    </row>
    <row r="99" spans="1:4">
      <c r="A99">
        <v>2006</v>
      </c>
      <c r="B99" t="s">
        <v>147</v>
      </c>
      <c r="C99" t="s">
        <v>148</v>
      </c>
      <c r="D99" t="s">
        <v>149</v>
      </c>
    </row>
    <row r="100" spans="1:4">
      <c r="A100">
        <v>2007</v>
      </c>
      <c r="B100" t="s">
        <v>105</v>
      </c>
      <c r="C100" t="s">
        <v>150</v>
      </c>
      <c r="D100" t="s">
        <v>151</v>
      </c>
    </row>
    <row r="101" spans="1:4">
      <c r="A101">
        <v>2016</v>
      </c>
      <c r="B101" t="s">
        <v>41</v>
      </c>
      <c r="C101" t="s">
        <v>152</v>
      </c>
      <c r="D101" t="s">
        <v>153</v>
      </c>
    </row>
    <row r="102" spans="1:4">
      <c r="A102">
        <v>2002</v>
      </c>
      <c r="B102" t="s">
        <v>41</v>
      </c>
      <c r="C102" t="s">
        <v>154</v>
      </c>
      <c r="D102" t="s">
        <v>155</v>
      </c>
    </row>
    <row r="103" spans="1:4">
      <c r="A103">
        <v>2009</v>
      </c>
      <c r="B103" t="s">
        <v>147</v>
      </c>
      <c r="C103" t="s">
        <v>156</v>
      </c>
      <c r="D103" t="s">
        <v>157</v>
      </c>
    </row>
    <row r="104" spans="1:4">
      <c r="A104">
        <v>2008</v>
      </c>
      <c r="B104" t="s">
        <v>158</v>
      </c>
      <c r="C104" t="s">
        <v>159</v>
      </c>
      <c r="D104" t="s">
        <v>160</v>
      </c>
    </row>
    <row r="105" spans="1:4">
      <c r="A105">
        <v>2012</v>
      </c>
      <c r="B105" t="s">
        <v>161</v>
      </c>
      <c r="C105" t="s">
        <v>162</v>
      </c>
      <c r="D105" t="s">
        <v>163</v>
      </c>
    </row>
    <row r="106" spans="1:4">
      <c r="A106">
        <v>2007</v>
      </c>
      <c r="B106" t="s">
        <v>53</v>
      </c>
      <c r="C106" t="s">
        <v>164</v>
      </c>
      <c r="D106" t="s">
        <v>165</v>
      </c>
    </row>
    <row r="107" spans="1:4">
      <c r="A107">
        <v>2012</v>
      </c>
      <c r="B107" t="s">
        <v>4</v>
      </c>
      <c r="C107" t="s">
        <v>166</v>
      </c>
      <c r="D107" t="s">
        <v>167</v>
      </c>
    </row>
    <row r="108" spans="1:4">
      <c r="A108">
        <v>2008</v>
      </c>
      <c r="B108" t="s">
        <v>53</v>
      </c>
      <c r="C108" t="s">
        <v>168</v>
      </c>
      <c r="D108" t="s">
        <v>169</v>
      </c>
    </row>
    <row r="109" spans="1:4">
      <c r="A109">
        <v>2012</v>
      </c>
      <c r="B109" t="s">
        <v>4</v>
      </c>
      <c r="C109" t="s">
        <v>170</v>
      </c>
      <c r="D109" t="s">
        <v>167</v>
      </c>
    </row>
    <row r="110" spans="1:4">
      <c r="A110">
        <v>2012</v>
      </c>
      <c r="B110" t="s">
        <v>4</v>
      </c>
      <c r="C110" t="s">
        <v>171</v>
      </c>
      <c r="D110" t="s">
        <v>167</v>
      </c>
    </row>
    <row r="111" spans="1:4">
      <c r="A111">
        <v>2013</v>
      </c>
      <c r="B111" t="s">
        <v>4</v>
      </c>
      <c r="C111" t="s">
        <v>172</v>
      </c>
      <c r="D111" t="s">
        <v>167</v>
      </c>
    </row>
    <row r="112" spans="1:4">
      <c r="A112">
        <v>2013</v>
      </c>
      <c r="B112" t="s">
        <v>4</v>
      </c>
      <c r="C112" t="s">
        <v>173</v>
      </c>
      <c r="D112" t="s">
        <v>174</v>
      </c>
    </row>
    <row r="113" spans="1:4">
      <c r="A113">
        <v>2013</v>
      </c>
      <c r="B113" t="s">
        <v>4</v>
      </c>
      <c r="C113" t="s">
        <v>175</v>
      </c>
      <c r="D113" t="s">
        <v>174</v>
      </c>
    </row>
    <row r="114" spans="1:4">
      <c r="A114">
        <v>2011</v>
      </c>
      <c r="B114" t="s">
        <v>4</v>
      </c>
      <c r="C114" t="s">
        <v>176</v>
      </c>
      <c r="D114" t="s">
        <v>167</v>
      </c>
    </row>
    <row r="115" spans="1:4">
      <c r="A115">
        <v>2009</v>
      </c>
      <c r="B115" t="s">
        <v>9</v>
      </c>
      <c r="C115" t="s">
        <v>177</v>
      </c>
      <c r="D115" t="s">
        <v>178</v>
      </c>
    </row>
    <row r="116" spans="1:4">
      <c r="A116">
        <v>2012</v>
      </c>
      <c r="B116" t="s">
        <v>4</v>
      </c>
      <c r="C116" t="s">
        <v>179</v>
      </c>
      <c r="D116" t="s">
        <v>167</v>
      </c>
    </row>
    <row r="117" spans="1:4">
      <c r="A117">
        <v>2010</v>
      </c>
      <c r="B117" t="s">
        <v>53</v>
      </c>
      <c r="C117" t="s">
        <v>180</v>
      </c>
      <c r="D117" t="s">
        <v>181</v>
      </c>
    </row>
    <row r="118" spans="1:4">
      <c r="A118">
        <v>2008</v>
      </c>
      <c r="B118" t="s">
        <v>41</v>
      </c>
      <c r="C118" t="s">
        <v>182</v>
      </c>
      <c r="D118" t="s">
        <v>183</v>
      </c>
    </row>
    <row r="119" spans="1:4">
      <c r="A119">
        <v>2009</v>
      </c>
      <c r="B119" t="s">
        <v>9</v>
      </c>
      <c r="C119" t="s">
        <v>184</v>
      </c>
      <c r="D119" t="s">
        <v>178</v>
      </c>
    </row>
    <row r="120" spans="1:4">
      <c r="A120">
        <v>2008</v>
      </c>
      <c r="B120" t="s">
        <v>53</v>
      </c>
      <c r="C120" t="s">
        <v>185</v>
      </c>
      <c r="D120" t="s">
        <v>169</v>
      </c>
    </row>
    <row r="121" spans="1:4">
      <c r="A121">
        <v>2014</v>
      </c>
      <c r="B121" t="s">
        <v>4</v>
      </c>
      <c r="C121" t="s">
        <v>186</v>
      </c>
      <c r="D121" t="s">
        <v>167</v>
      </c>
    </row>
    <row r="122" spans="1:4">
      <c r="A122">
        <v>2009</v>
      </c>
      <c r="B122" t="s">
        <v>53</v>
      </c>
      <c r="C122" t="s">
        <v>187</v>
      </c>
      <c r="D122" t="s">
        <v>188</v>
      </c>
    </row>
    <row r="123" spans="1:4">
      <c r="A123">
        <v>2010</v>
      </c>
      <c r="B123" t="s">
        <v>53</v>
      </c>
      <c r="C123" t="s">
        <v>189</v>
      </c>
      <c r="D123" t="s">
        <v>190</v>
      </c>
    </row>
    <row r="124" spans="1:4">
      <c r="A124">
        <v>2019</v>
      </c>
      <c r="B124" t="s">
        <v>41</v>
      </c>
      <c r="C124" t="s">
        <v>191</v>
      </c>
      <c r="D124" t="s">
        <v>192</v>
      </c>
    </row>
    <row r="125" spans="1:4">
      <c r="A125">
        <v>2009</v>
      </c>
      <c r="B125" t="s">
        <v>53</v>
      </c>
      <c r="C125" t="s">
        <v>193</v>
      </c>
      <c r="D125" t="s">
        <v>194</v>
      </c>
    </row>
    <row r="126" spans="1:4">
      <c r="A126">
        <v>2009</v>
      </c>
      <c r="B126" t="s">
        <v>9</v>
      </c>
      <c r="C126" t="s">
        <v>195</v>
      </c>
      <c r="D126" t="s">
        <v>178</v>
      </c>
    </row>
    <row r="127" spans="1:4">
      <c r="A127">
        <v>2012</v>
      </c>
      <c r="B127" t="s">
        <v>4</v>
      </c>
      <c r="C127" t="s">
        <v>196</v>
      </c>
      <c r="D127" t="s">
        <v>174</v>
      </c>
    </row>
    <row r="128" spans="1:4">
      <c r="A128">
        <v>2013</v>
      </c>
      <c r="B128" t="s">
        <v>4</v>
      </c>
      <c r="C128" t="s">
        <v>197</v>
      </c>
      <c r="D128" t="s">
        <v>167</v>
      </c>
    </row>
    <row r="129" spans="1:4">
      <c r="A129">
        <v>2014</v>
      </c>
      <c r="B129" t="s">
        <v>4</v>
      </c>
      <c r="C129" t="s">
        <v>198</v>
      </c>
      <c r="D129" t="s">
        <v>167</v>
      </c>
    </row>
    <row r="130" spans="1:4">
      <c r="A130">
        <v>2018</v>
      </c>
      <c r="B130" t="s">
        <v>161</v>
      </c>
      <c r="C130" t="s">
        <v>199</v>
      </c>
      <c r="D130" t="s">
        <v>200</v>
      </c>
    </row>
    <row r="131" spans="1:4">
      <c r="A131">
        <v>2018</v>
      </c>
      <c r="B131" t="s">
        <v>161</v>
      </c>
      <c r="C131" t="s">
        <v>201</v>
      </c>
      <c r="D131" t="s">
        <v>200</v>
      </c>
    </row>
    <row r="132" spans="1:4">
      <c r="A132">
        <v>2018</v>
      </c>
      <c r="B132" t="s">
        <v>53</v>
      </c>
      <c r="C132" t="s">
        <v>202</v>
      </c>
      <c r="D132" t="s">
        <v>203</v>
      </c>
    </row>
    <row r="133" spans="1:4">
      <c r="A133">
        <v>2018</v>
      </c>
      <c r="B133" t="s">
        <v>53</v>
      </c>
      <c r="C133" t="s">
        <v>204</v>
      </c>
      <c r="D133" t="s">
        <v>203</v>
      </c>
    </row>
    <row r="134" spans="1:4">
      <c r="A134">
        <v>2018</v>
      </c>
      <c r="B134" t="s">
        <v>53</v>
      </c>
      <c r="C134" t="s">
        <v>205</v>
      </c>
      <c r="D134" t="s">
        <v>203</v>
      </c>
    </row>
    <row r="135" spans="1:4">
      <c r="A135">
        <v>2018</v>
      </c>
      <c r="B135" t="s">
        <v>53</v>
      </c>
      <c r="C135" t="s">
        <v>206</v>
      </c>
      <c r="D135" t="s">
        <v>203</v>
      </c>
    </row>
    <row r="136" spans="1:4">
      <c r="A136">
        <v>2009</v>
      </c>
      <c r="B136" t="s">
        <v>53</v>
      </c>
      <c r="C136" t="s">
        <v>207</v>
      </c>
      <c r="D136" t="s">
        <v>208</v>
      </c>
    </row>
    <row r="137" spans="1:4">
      <c r="A137">
        <v>2012</v>
      </c>
      <c r="B137" t="s">
        <v>53</v>
      </c>
      <c r="C137" t="s">
        <v>209</v>
      </c>
      <c r="D137" t="s">
        <v>210</v>
      </c>
    </row>
    <row r="138" spans="1:4">
      <c r="A138">
        <v>2012</v>
      </c>
      <c r="B138" t="s">
        <v>4</v>
      </c>
      <c r="C138" t="s">
        <v>211</v>
      </c>
      <c r="D138" t="s">
        <v>167</v>
      </c>
    </row>
    <row r="139" spans="1:4">
      <c r="A139">
        <v>2013</v>
      </c>
      <c r="B139" t="s">
        <v>4</v>
      </c>
      <c r="C139" t="s">
        <v>212</v>
      </c>
      <c r="D139" t="s">
        <v>167</v>
      </c>
    </row>
    <row r="140" spans="1:4">
      <c r="A140">
        <v>2005</v>
      </c>
      <c r="B140" t="s">
        <v>4</v>
      </c>
      <c r="C140" t="s">
        <v>213</v>
      </c>
      <c r="D140" t="s">
        <v>114</v>
      </c>
    </row>
    <row r="141" spans="1:4">
      <c r="A141">
        <v>2007</v>
      </c>
      <c r="B141" t="s">
        <v>53</v>
      </c>
      <c r="C141" t="s">
        <v>214</v>
      </c>
      <c r="D141" t="s">
        <v>165</v>
      </c>
    </row>
    <row r="142" spans="1:4">
      <c r="A142">
        <v>2012</v>
      </c>
      <c r="B142" t="s">
        <v>4</v>
      </c>
      <c r="C142" t="s">
        <v>215</v>
      </c>
      <c r="D142" t="s">
        <v>167</v>
      </c>
    </row>
    <row r="143" spans="1:4">
      <c r="A143">
        <v>2012</v>
      </c>
      <c r="B143" t="s">
        <v>4</v>
      </c>
      <c r="C143" t="s">
        <v>216</v>
      </c>
      <c r="D143" t="s">
        <v>167</v>
      </c>
    </row>
    <row r="144" spans="1:4">
      <c r="A144">
        <v>2007</v>
      </c>
      <c r="B144" t="s">
        <v>4</v>
      </c>
      <c r="C144" t="s">
        <v>217</v>
      </c>
      <c r="D144" t="s">
        <v>218</v>
      </c>
    </row>
    <row r="145" spans="1:4">
      <c r="A145">
        <v>2007</v>
      </c>
      <c r="B145" t="s">
        <v>53</v>
      </c>
      <c r="C145" t="s">
        <v>219</v>
      </c>
      <c r="D145" t="s">
        <v>165</v>
      </c>
    </row>
    <row r="146" spans="1:4">
      <c r="A146">
        <v>2011</v>
      </c>
      <c r="B146" t="s">
        <v>4</v>
      </c>
      <c r="C146" t="s">
        <v>220</v>
      </c>
      <c r="D146" t="s">
        <v>174</v>
      </c>
    </row>
    <row r="147" spans="1:4">
      <c r="A147">
        <v>2014</v>
      </c>
      <c r="B147" t="s">
        <v>4</v>
      </c>
      <c r="C147" t="s">
        <v>221</v>
      </c>
      <c r="D147" t="s">
        <v>167</v>
      </c>
    </row>
    <row r="148" spans="1:4">
      <c r="A148">
        <v>2009</v>
      </c>
      <c r="B148" t="s">
        <v>53</v>
      </c>
      <c r="C148" t="s">
        <v>222</v>
      </c>
      <c r="D148" t="s">
        <v>223</v>
      </c>
    </row>
    <row r="149" spans="1:4">
      <c r="A149">
        <v>2005</v>
      </c>
      <c r="B149" t="s">
        <v>53</v>
      </c>
      <c r="C149" t="s">
        <v>224</v>
      </c>
      <c r="D149" t="s">
        <v>225</v>
      </c>
    </row>
    <row r="150" spans="1:4">
      <c r="A150">
        <v>2008</v>
      </c>
      <c r="B150" t="s">
        <v>53</v>
      </c>
      <c r="C150" t="s">
        <v>226</v>
      </c>
      <c r="D150" t="s">
        <v>169</v>
      </c>
    </row>
    <row r="151" spans="1:4">
      <c r="A151">
        <v>2011</v>
      </c>
      <c r="B151" t="s">
        <v>4</v>
      </c>
      <c r="C151" t="s">
        <v>227</v>
      </c>
      <c r="D151" t="s">
        <v>167</v>
      </c>
    </row>
    <row r="152" spans="1:4">
      <c r="A152">
        <v>2010</v>
      </c>
      <c r="B152" t="s">
        <v>53</v>
      </c>
      <c r="C152" t="s">
        <v>228</v>
      </c>
      <c r="D152" t="s">
        <v>210</v>
      </c>
    </row>
    <row r="153" spans="1:4">
      <c r="A153">
        <v>2005</v>
      </c>
      <c r="B153" t="s">
        <v>53</v>
      </c>
      <c r="C153" t="s">
        <v>229</v>
      </c>
      <c r="D153" t="s">
        <v>230</v>
      </c>
    </row>
    <row r="154" spans="1:4">
      <c r="A154">
        <v>2014</v>
      </c>
      <c r="B154" t="s">
        <v>53</v>
      </c>
      <c r="C154" t="s">
        <v>231</v>
      </c>
      <c r="D154" t="s">
        <v>232</v>
      </c>
    </row>
    <row r="155" spans="1:4">
      <c r="A155">
        <v>2010</v>
      </c>
      <c r="B155" t="s">
        <v>147</v>
      </c>
      <c r="C155" t="s">
        <v>233</v>
      </c>
      <c r="D155" t="s">
        <v>234</v>
      </c>
    </row>
    <row r="156" spans="1:4">
      <c r="A156">
        <v>2010</v>
      </c>
      <c r="B156" t="s">
        <v>147</v>
      </c>
      <c r="C156" t="s">
        <v>235</v>
      </c>
      <c r="D156" t="s">
        <v>234</v>
      </c>
    </row>
    <row r="157" spans="1:4">
      <c r="A157">
        <v>2014</v>
      </c>
      <c r="B157" t="s">
        <v>161</v>
      </c>
      <c r="C157" t="s">
        <v>236</v>
      </c>
      <c r="D157" t="s">
        <v>237</v>
      </c>
    </row>
    <row r="158" spans="1:4">
      <c r="A158">
        <v>2014</v>
      </c>
      <c r="B158" t="s">
        <v>161</v>
      </c>
      <c r="C158" t="s">
        <v>238</v>
      </c>
      <c r="D158" t="s">
        <v>237</v>
      </c>
    </row>
    <row r="159" spans="1:4">
      <c r="A159">
        <v>2014</v>
      </c>
      <c r="B159" t="s">
        <v>161</v>
      </c>
      <c r="C159" t="s">
        <v>239</v>
      </c>
      <c r="D159" t="s">
        <v>237</v>
      </c>
    </row>
    <row r="160" spans="1:4">
      <c r="A160">
        <v>2007</v>
      </c>
      <c r="B160" t="s">
        <v>53</v>
      </c>
      <c r="C160" t="s">
        <v>240</v>
      </c>
      <c r="D160" t="s">
        <v>165</v>
      </c>
    </row>
    <row r="161" spans="1:4">
      <c r="A161">
        <v>2012</v>
      </c>
      <c r="B161" t="s">
        <v>4</v>
      </c>
      <c r="C161" t="s">
        <v>241</v>
      </c>
      <c r="D161" t="s">
        <v>174</v>
      </c>
    </row>
    <row r="162" spans="1:4">
      <c r="A162">
        <v>2007</v>
      </c>
      <c r="B162" t="s">
        <v>4</v>
      </c>
      <c r="C162" t="s">
        <v>242</v>
      </c>
      <c r="D162" t="s">
        <v>218</v>
      </c>
    </row>
    <row r="163" spans="1:4">
      <c r="A163">
        <v>2014</v>
      </c>
      <c r="B163" t="s">
        <v>4</v>
      </c>
      <c r="C163" t="s">
        <v>243</v>
      </c>
      <c r="D163" t="s">
        <v>167</v>
      </c>
    </row>
    <row r="164" spans="1:4">
      <c r="A164">
        <v>2009</v>
      </c>
      <c r="B164" t="s">
        <v>9</v>
      </c>
      <c r="C164" t="s">
        <v>244</v>
      </c>
      <c r="D164" t="s">
        <v>178</v>
      </c>
    </row>
    <row r="165" spans="1:4">
      <c r="A165">
        <v>2013</v>
      </c>
      <c r="B165" t="s">
        <v>4</v>
      </c>
      <c r="C165" t="s">
        <v>245</v>
      </c>
      <c r="D165" t="s">
        <v>167</v>
      </c>
    </row>
    <row r="166" spans="1:4">
      <c r="A166">
        <v>2013</v>
      </c>
      <c r="B166" t="s">
        <v>4</v>
      </c>
      <c r="C166" t="s">
        <v>246</v>
      </c>
      <c r="D166" t="s">
        <v>167</v>
      </c>
    </row>
    <row r="167" spans="1:4">
      <c r="A167">
        <v>2009</v>
      </c>
      <c r="B167" t="s">
        <v>53</v>
      </c>
      <c r="C167" t="s">
        <v>247</v>
      </c>
      <c r="D167" t="s">
        <v>208</v>
      </c>
    </row>
    <row r="168" spans="1:4">
      <c r="A168">
        <v>2003</v>
      </c>
      <c r="B168" t="s">
        <v>53</v>
      </c>
      <c r="C168" t="s">
        <v>248</v>
      </c>
      <c r="D168" t="s">
        <v>249</v>
      </c>
    </row>
    <row r="169" spans="1:4">
      <c r="A169">
        <v>2008</v>
      </c>
      <c r="B169" t="s">
        <v>53</v>
      </c>
      <c r="C169" t="s">
        <v>250</v>
      </c>
      <c r="D169" t="s">
        <v>169</v>
      </c>
    </row>
    <row r="170" spans="1:4">
      <c r="A170">
        <v>2008</v>
      </c>
      <c r="B170" t="s">
        <v>53</v>
      </c>
      <c r="C170" t="s">
        <v>251</v>
      </c>
      <c r="D170" t="s">
        <v>169</v>
      </c>
    </row>
    <row r="171" spans="1:4">
      <c r="A171">
        <v>2009</v>
      </c>
      <c r="B171" t="s">
        <v>9</v>
      </c>
      <c r="C171" t="s">
        <v>252</v>
      </c>
      <c r="D171" t="s">
        <v>178</v>
      </c>
    </row>
    <row r="172" spans="1:4">
      <c r="A172">
        <v>2011</v>
      </c>
      <c r="B172" t="s">
        <v>9</v>
      </c>
      <c r="C172" t="s">
        <v>253</v>
      </c>
      <c r="D172" t="s">
        <v>178</v>
      </c>
    </row>
    <row r="173" spans="1:4">
      <c r="A173">
        <v>2012</v>
      </c>
      <c r="B173" t="s">
        <v>4</v>
      </c>
      <c r="C173" t="s">
        <v>254</v>
      </c>
      <c r="D173" t="s">
        <v>167</v>
      </c>
    </row>
    <row r="174" spans="1:4">
      <c r="A174">
        <v>2013</v>
      </c>
      <c r="B174" t="s">
        <v>4</v>
      </c>
      <c r="C174" t="s">
        <v>255</v>
      </c>
      <c r="D174" t="s">
        <v>167</v>
      </c>
    </row>
    <row r="175" spans="1:4">
      <c r="A175">
        <v>2013</v>
      </c>
      <c r="B175" t="s">
        <v>256</v>
      </c>
      <c r="C175" t="s">
        <v>257</v>
      </c>
      <c r="D175" t="s">
        <v>258</v>
      </c>
    </row>
    <row r="176" spans="1:4">
      <c r="A176">
        <v>2006</v>
      </c>
      <c r="B176" t="s">
        <v>53</v>
      </c>
      <c r="C176" t="s">
        <v>259</v>
      </c>
      <c r="D176" t="s">
        <v>188</v>
      </c>
    </row>
    <row r="177" spans="1:4">
      <c r="A177">
        <v>2012</v>
      </c>
      <c r="B177" t="s">
        <v>4</v>
      </c>
      <c r="C177" t="s">
        <v>260</v>
      </c>
      <c r="D177" t="s">
        <v>261</v>
      </c>
    </row>
    <row r="178" spans="1:4">
      <c r="A178">
        <v>2007</v>
      </c>
      <c r="B178" t="s">
        <v>53</v>
      </c>
      <c r="C178" t="s">
        <v>262</v>
      </c>
      <c r="D178" t="s">
        <v>165</v>
      </c>
    </row>
    <row r="179" spans="1:4">
      <c r="A179">
        <v>2007</v>
      </c>
      <c r="B179" t="s">
        <v>53</v>
      </c>
      <c r="C179" t="s">
        <v>263</v>
      </c>
      <c r="D179" t="s">
        <v>165</v>
      </c>
    </row>
    <row r="180" spans="1:4">
      <c r="A180">
        <v>2002</v>
      </c>
      <c r="B180" t="s">
        <v>53</v>
      </c>
      <c r="C180" t="s">
        <v>264</v>
      </c>
      <c r="D180" t="s">
        <v>165</v>
      </c>
    </row>
    <row r="181" spans="1:4">
      <c r="A181">
        <v>2007</v>
      </c>
      <c r="B181" t="s">
        <v>4</v>
      </c>
      <c r="C181" t="s">
        <v>265</v>
      </c>
      <c r="D181" t="s">
        <v>266</v>
      </c>
    </row>
    <row r="182" spans="1:4">
      <c r="A182">
        <v>2008</v>
      </c>
      <c r="B182" t="s">
        <v>53</v>
      </c>
      <c r="C182" t="s">
        <v>267</v>
      </c>
      <c r="D182" t="s">
        <v>165</v>
      </c>
    </row>
    <row r="183" spans="1:4">
      <c r="A183">
        <v>2007</v>
      </c>
      <c r="B183" t="s">
        <v>53</v>
      </c>
      <c r="C183" t="s">
        <v>268</v>
      </c>
      <c r="D183" t="s">
        <v>165</v>
      </c>
    </row>
    <row r="184" spans="1:4">
      <c r="A184">
        <v>2009</v>
      </c>
      <c r="B184" t="s">
        <v>9</v>
      </c>
      <c r="C184" t="s">
        <v>269</v>
      </c>
      <c r="D184" t="s">
        <v>178</v>
      </c>
    </row>
    <row r="185" spans="1:4">
      <c r="A185">
        <v>2008</v>
      </c>
      <c r="B185" t="s">
        <v>53</v>
      </c>
      <c r="C185" t="s">
        <v>270</v>
      </c>
      <c r="D185" t="s">
        <v>169</v>
      </c>
    </row>
    <row r="186" spans="1:4">
      <c r="A186">
        <v>2009</v>
      </c>
      <c r="B186" t="s">
        <v>161</v>
      </c>
      <c r="C186" t="s">
        <v>271</v>
      </c>
      <c r="D186" t="s">
        <v>272</v>
      </c>
    </row>
    <row r="187" spans="1:4">
      <c r="A187">
        <v>2011</v>
      </c>
      <c r="B187" t="s">
        <v>9</v>
      </c>
      <c r="C187" t="s">
        <v>273</v>
      </c>
      <c r="D187" t="s">
        <v>178</v>
      </c>
    </row>
    <row r="188" spans="1:4">
      <c r="A188">
        <v>2006</v>
      </c>
      <c r="B188" t="s">
        <v>161</v>
      </c>
      <c r="C188" t="s">
        <v>274</v>
      </c>
      <c r="D188" t="s">
        <v>275</v>
      </c>
    </row>
    <row r="189" spans="1:4">
      <c r="A189">
        <v>2003</v>
      </c>
      <c r="B189" t="s">
        <v>53</v>
      </c>
      <c r="C189" t="s">
        <v>276</v>
      </c>
      <c r="D189" t="s">
        <v>249</v>
      </c>
    </row>
    <row r="190" spans="1:4">
      <c r="A190">
        <v>2007</v>
      </c>
      <c r="B190" t="s">
        <v>53</v>
      </c>
      <c r="C190" t="s">
        <v>277</v>
      </c>
      <c r="D190" t="s">
        <v>165</v>
      </c>
    </row>
    <row r="191" spans="1:4">
      <c r="A191">
        <v>2007</v>
      </c>
      <c r="B191" t="s">
        <v>53</v>
      </c>
      <c r="C191" t="s">
        <v>278</v>
      </c>
      <c r="D191" t="s">
        <v>165</v>
      </c>
    </row>
    <row r="192" spans="1:4">
      <c r="A192">
        <v>2010</v>
      </c>
      <c r="B192" t="s">
        <v>53</v>
      </c>
      <c r="C192" t="s">
        <v>279</v>
      </c>
      <c r="D192" t="s">
        <v>181</v>
      </c>
    </row>
    <row r="193" spans="1:4">
      <c r="A193">
        <v>2008</v>
      </c>
      <c r="B193" t="s">
        <v>53</v>
      </c>
      <c r="C193" t="s">
        <v>280</v>
      </c>
      <c r="D193" t="s">
        <v>165</v>
      </c>
    </row>
    <row r="194" spans="1:4">
      <c r="A194">
        <v>2008</v>
      </c>
      <c r="B194" t="s">
        <v>53</v>
      </c>
      <c r="C194" t="s">
        <v>281</v>
      </c>
      <c r="D194" t="s">
        <v>100</v>
      </c>
    </row>
    <row r="195" spans="1:4">
      <c r="A195">
        <v>2009</v>
      </c>
      <c r="B195" t="s">
        <v>53</v>
      </c>
      <c r="C195" t="s">
        <v>282</v>
      </c>
      <c r="D195" t="s">
        <v>210</v>
      </c>
    </row>
    <row r="196" spans="1:4">
      <c r="A196">
        <v>2010</v>
      </c>
      <c r="B196" t="s">
        <v>53</v>
      </c>
      <c r="C196" t="s">
        <v>283</v>
      </c>
      <c r="D196" t="s">
        <v>181</v>
      </c>
    </row>
    <row r="197" spans="1:4">
      <c r="A197">
        <v>2011</v>
      </c>
      <c r="B197" t="s">
        <v>9</v>
      </c>
      <c r="C197" t="s">
        <v>284</v>
      </c>
      <c r="D197" t="s">
        <v>285</v>
      </c>
    </row>
    <row r="198" spans="1:4">
      <c r="A198">
        <v>2012</v>
      </c>
      <c r="B198" t="s">
        <v>18</v>
      </c>
      <c r="C198" t="s">
        <v>286</v>
      </c>
      <c r="D198" t="s">
        <v>287</v>
      </c>
    </row>
    <row r="199" spans="1:4">
      <c r="A199">
        <v>1997</v>
      </c>
      <c r="B199" t="s">
        <v>12</v>
      </c>
      <c r="C199" t="s">
        <v>288</v>
      </c>
      <c r="D199" t="s">
        <v>289</v>
      </c>
    </row>
    <row r="200" spans="1:4">
      <c r="A200">
        <v>2011</v>
      </c>
      <c r="B200" t="s">
        <v>53</v>
      </c>
      <c r="C200" t="s">
        <v>290</v>
      </c>
      <c r="D200" t="s">
        <v>291</v>
      </c>
    </row>
    <row r="201" spans="1:4">
      <c r="A201">
        <v>2013</v>
      </c>
      <c r="B201" t="s">
        <v>12</v>
      </c>
      <c r="C201" t="s">
        <v>292</v>
      </c>
      <c r="D201" t="s">
        <v>293</v>
      </c>
    </row>
    <row r="202" spans="1:4">
      <c r="A202">
        <v>2014</v>
      </c>
      <c r="B202" t="s">
        <v>12</v>
      </c>
      <c r="C202" t="s">
        <v>294</v>
      </c>
      <c r="D202" t="s">
        <v>293</v>
      </c>
    </row>
    <row r="203" spans="1:4">
      <c r="A203">
        <v>2015</v>
      </c>
      <c r="B203" t="s">
        <v>12</v>
      </c>
      <c r="C203" t="s">
        <v>295</v>
      </c>
      <c r="D203" t="s">
        <v>296</v>
      </c>
    </row>
    <row r="204" spans="1:4">
      <c r="B204" t="s">
        <v>53</v>
      </c>
      <c r="C204" t="s">
        <v>297</v>
      </c>
      <c r="D204" t="s">
        <v>291</v>
      </c>
    </row>
    <row r="205" spans="1:4">
      <c r="B205" t="s">
        <v>12</v>
      </c>
      <c r="C205" t="s">
        <v>298</v>
      </c>
      <c r="D205" t="s">
        <v>289</v>
      </c>
    </row>
    <row r="206" spans="1:4">
      <c r="B206" t="s">
        <v>12</v>
      </c>
      <c r="C206" t="s">
        <v>299</v>
      </c>
      <c r="D206" t="s">
        <v>289</v>
      </c>
    </row>
    <row r="207" spans="1:4">
      <c r="B207" t="s">
        <v>18</v>
      </c>
      <c r="C207" t="s">
        <v>300</v>
      </c>
      <c r="D207" t="s">
        <v>287</v>
      </c>
    </row>
    <row r="208" spans="1:4">
      <c r="B208" t="s">
        <v>12</v>
      </c>
      <c r="C208" t="s">
        <v>301</v>
      </c>
      <c r="D208" t="s">
        <v>293</v>
      </c>
    </row>
    <row r="209" spans="2:4">
      <c r="B209" t="s">
        <v>18</v>
      </c>
      <c r="C209" t="s">
        <v>302</v>
      </c>
      <c r="D209" t="s">
        <v>303</v>
      </c>
    </row>
    <row r="210" spans="2:4">
      <c r="B210" t="s">
        <v>304</v>
      </c>
      <c r="C210" t="s">
        <v>305</v>
      </c>
      <c r="D210" t="s">
        <v>306</v>
      </c>
    </row>
    <row r="211" spans="2:4">
      <c r="B211" t="s">
        <v>53</v>
      </c>
      <c r="C211" t="s">
        <v>307</v>
      </c>
      <c r="D211" t="s">
        <v>291</v>
      </c>
    </row>
    <row r="212" spans="2:4">
      <c r="B212" t="s">
        <v>12</v>
      </c>
      <c r="C212" t="s">
        <v>308</v>
      </c>
      <c r="D212" t="s">
        <v>289</v>
      </c>
    </row>
    <row r="213" spans="2:4">
      <c r="B213" t="s">
        <v>18</v>
      </c>
      <c r="C213" t="s">
        <v>309</v>
      </c>
      <c r="D213" t="s">
        <v>303</v>
      </c>
    </row>
    <row r="214" spans="2:4">
      <c r="B214" t="s">
        <v>53</v>
      </c>
      <c r="C214" t="s">
        <v>310</v>
      </c>
      <c r="D214" t="s">
        <v>291</v>
      </c>
    </row>
    <row r="215" spans="2:4">
      <c r="B215" t="s">
        <v>311</v>
      </c>
      <c r="C215" t="s">
        <v>312</v>
      </c>
      <c r="D215" t="s">
        <v>313</v>
      </c>
    </row>
    <row r="216" spans="2:4">
      <c r="B216" t="s">
        <v>311</v>
      </c>
      <c r="C216" t="s">
        <v>314</v>
      </c>
      <c r="D216" t="s">
        <v>313</v>
      </c>
    </row>
    <row r="217" spans="2:4">
      <c r="B217" t="s">
        <v>4</v>
      </c>
      <c r="C217" t="s">
        <v>315</v>
      </c>
      <c r="D217" t="s">
        <v>316</v>
      </c>
    </row>
    <row r="218" spans="2:4">
      <c r="B218" t="s">
        <v>15</v>
      </c>
      <c r="C218" t="s">
        <v>317</v>
      </c>
      <c r="D218" t="s">
        <v>318</v>
      </c>
    </row>
    <row r="219" spans="2:4">
      <c r="B219" t="s">
        <v>12</v>
      </c>
      <c r="C219" t="s">
        <v>319</v>
      </c>
      <c r="D219" t="s">
        <v>320</v>
      </c>
    </row>
    <row r="220" spans="2:4">
      <c r="B220" t="s">
        <v>15</v>
      </c>
      <c r="C220" t="s">
        <v>321</v>
      </c>
      <c r="D220" t="s">
        <v>322</v>
      </c>
    </row>
    <row r="221" spans="2:4">
      <c r="B221" t="s">
        <v>304</v>
      </c>
      <c r="C221" t="s">
        <v>323</v>
      </c>
      <c r="D221" t="s">
        <v>322</v>
      </c>
    </row>
    <row r="222" spans="2:4">
      <c r="B222" t="s">
        <v>304</v>
      </c>
      <c r="C222" t="s">
        <v>324</v>
      </c>
      <c r="D222" t="s">
        <v>322</v>
      </c>
    </row>
    <row r="223" spans="2:4">
      <c r="B223" t="s">
        <v>12</v>
      </c>
      <c r="C223" t="s">
        <v>325</v>
      </c>
      <c r="D223" t="s">
        <v>326</v>
      </c>
    </row>
    <row r="224" spans="2:4">
      <c r="B224" t="s">
        <v>15</v>
      </c>
      <c r="C224" t="s">
        <v>327</v>
      </c>
      <c r="D224" t="s">
        <v>322</v>
      </c>
    </row>
    <row r="225" spans="2:4">
      <c r="B225" t="s">
        <v>15</v>
      </c>
      <c r="C225" t="s">
        <v>328</v>
      </c>
      <c r="D225" t="s">
        <v>318</v>
      </c>
    </row>
    <row r="226" spans="2:4">
      <c r="B226" t="s">
        <v>304</v>
      </c>
      <c r="C226" t="s">
        <v>329</v>
      </c>
      <c r="D226" t="s">
        <v>322</v>
      </c>
    </row>
    <row r="227" spans="2:4">
      <c r="B227" t="s">
        <v>304</v>
      </c>
      <c r="C227" t="s">
        <v>330</v>
      </c>
      <c r="D227" t="s">
        <v>322</v>
      </c>
    </row>
    <row r="228" spans="2:4">
      <c r="B228" t="s">
        <v>4</v>
      </c>
      <c r="C228" t="s">
        <v>331</v>
      </c>
      <c r="D228" t="s">
        <v>332</v>
      </c>
    </row>
    <row r="229" spans="2:4">
      <c r="B229" t="s">
        <v>15</v>
      </c>
      <c r="C229" t="s">
        <v>333</v>
      </c>
      <c r="D229" t="s">
        <v>334</v>
      </c>
    </row>
    <row r="230" spans="2:4">
      <c r="B230" t="s">
        <v>4</v>
      </c>
      <c r="C230" t="s">
        <v>335</v>
      </c>
      <c r="D230" t="s">
        <v>336</v>
      </c>
    </row>
    <row r="231" spans="2:4">
      <c r="B231" t="s">
        <v>15</v>
      </c>
      <c r="C231" t="s">
        <v>337</v>
      </c>
      <c r="D231" t="s">
        <v>338</v>
      </c>
    </row>
    <row r="232" spans="2:4">
      <c r="B232" t="s">
        <v>339</v>
      </c>
      <c r="C232" t="s">
        <v>340</v>
      </c>
      <c r="D232" t="s">
        <v>341</v>
      </c>
    </row>
    <row r="233" spans="2:4">
      <c r="B233" t="s">
        <v>4</v>
      </c>
      <c r="C233" t="s">
        <v>342</v>
      </c>
      <c r="D233" t="s">
        <v>343</v>
      </c>
    </row>
    <row r="234" spans="2:4">
      <c r="B234" t="s">
        <v>15</v>
      </c>
      <c r="C234" t="s">
        <v>344</v>
      </c>
      <c r="D234" t="s">
        <v>345</v>
      </c>
    </row>
    <row r="235" spans="2:4">
      <c r="B235" t="s">
        <v>12</v>
      </c>
      <c r="C235" t="s">
        <v>346</v>
      </c>
      <c r="D235" t="s">
        <v>347</v>
      </c>
    </row>
    <row r="236" spans="2:4">
      <c r="B236" t="s">
        <v>15</v>
      </c>
      <c r="C236" t="s">
        <v>348</v>
      </c>
      <c r="D236" t="s">
        <v>322</v>
      </c>
    </row>
    <row r="237" spans="2:4">
      <c r="B237" t="s">
        <v>4</v>
      </c>
      <c r="C237" t="s">
        <v>349</v>
      </c>
      <c r="D237" t="s">
        <v>350</v>
      </c>
    </row>
    <row r="238" spans="2:4">
      <c r="B238" t="s">
        <v>105</v>
      </c>
      <c r="C238" t="s">
        <v>351</v>
      </c>
      <c r="D238" t="s">
        <v>352</v>
      </c>
    </row>
    <row r="239" spans="2:4">
      <c r="C239">
        <v>237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8A7DA-F73D-44A2-B56B-15978243C644}">
  <dimension ref="A1:J14"/>
  <sheetViews>
    <sheetView tabSelected="1" workbookViewId="0">
      <selection activeCell="N23" sqref="N23"/>
    </sheetView>
  </sheetViews>
  <sheetFormatPr defaultRowHeight="15"/>
  <cols>
    <col min="1" max="1" width="53.85546875" bestFit="1" customWidth="1"/>
    <col min="2" max="2" width="11.7109375" customWidth="1"/>
    <col min="4" max="4" width="18.140625" customWidth="1"/>
    <col min="10" max="10" width="13.7109375" bestFit="1" customWidth="1"/>
  </cols>
  <sheetData>
    <row r="1" spans="1:10">
      <c r="A1" t="s">
        <v>353</v>
      </c>
      <c r="D1" t="s">
        <v>354</v>
      </c>
      <c r="I1" t="s">
        <v>355</v>
      </c>
    </row>
    <row r="3" spans="1:10">
      <c r="A3" s="8" t="s">
        <v>356</v>
      </c>
      <c r="B3" s="8"/>
      <c r="C3" s="3"/>
      <c r="D3" s="6" t="s">
        <v>357</v>
      </c>
      <c r="E3" s="7">
        <f>MIN('IDADE POR TIPO DE VEICULO UFMG'!E:E)</f>
        <v>1983</v>
      </c>
      <c r="F3" s="3"/>
      <c r="G3" s="3"/>
      <c r="H3" s="3"/>
      <c r="I3" s="6" t="s">
        <v>357</v>
      </c>
      <c r="J3" s="7">
        <f>MAX(Planilha2!A:A)</f>
        <v>2020</v>
      </c>
    </row>
    <row r="4" spans="1:10">
      <c r="A4" s="6" t="s">
        <v>358</v>
      </c>
      <c r="B4" s="7">
        <f>COUNTIF('IDADE POR TIPO DE VEICULO UFMG'!G:G,"Ótimo")</f>
        <v>193</v>
      </c>
      <c r="C4" s="3"/>
      <c r="D4" s="6" t="s">
        <v>1</v>
      </c>
      <c r="E4" s="7" t="str">
        <f>VLOOKUP(E3,Planilha2!A:C,2,0)</f>
        <v>FORD</v>
      </c>
      <c r="F4" s="3"/>
      <c r="G4" s="3"/>
      <c r="H4" s="3"/>
      <c r="I4" s="6" t="s">
        <v>3</v>
      </c>
      <c r="J4" s="7" t="str">
        <f>VLOOKUP(Atividade!J3,Planilha2!A:D,4,0)</f>
        <v>DRC 4X2</v>
      </c>
    </row>
    <row r="5" spans="1:10">
      <c r="A5" s="6" t="s">
        <v>359</v>
      </c>
      <c r="B5" s="7">
        <f>COUNTIF('IDADE POR TIPO DE VEICULO UFMG'!G:G,"Bom")</f>
        <v>26</v>
      </c>
      <c r="C5" s="3"/>
      <c r="D5" s="6" t="s">
        <v>2</v>
      </c>
      <c r="E5" s="7" t="str">
        <f>VLOOKUP(E3,Planilha2!A:C,3,0)</f>
        <v>GXP5136</v>
      </c>
      <c r="F5" s="3"/>
      <c r="G5" s="3"/>
      <c r="H5" s="3"/>
      <c r="I5" s="6" t="s">
        <v>1</v>
      </c>
      <c r="J5" s="7" t="str">
        <f>VLOOKUP(Atividade!J3,Planilha2!A:D,2,0)</f>
        <v>VOLKSWAGEN</v>
      </c>
    </row>
    <row r="6" spans="1:10">
      <c r="A6" s="6" t="s">
        <v>360</v>
      </c>
      <c r="B6" s="7">
        <f>COUNTIF('IDADE POR TIPO DE VEICULO UFMG'!G:G,"Regular")</f>
        <v>14</v>
      </c>
      <c r="C6" s="3"/>
      <c r="D6" s="3"/>
      <c r="E6" s="3"/>
      <c r="F6" s="3"/>
      <c r="G6" s="3"/>
      <c r="H6" s="3"/>
      <c r="I6" s="3"/>
      <c r="J6" s="3"/>
    </row>
    <row r="7" spans="1:10">
      <c r="A7" s="6" t="s">
        <v>361</v>
      </c>
      <c r="B7" s="7">
        <f>COUNTIF('IDADE POR TIPO DE VEICULO UFMG'!G:G,"Anti-econômico")</f>
        <v>4</v>
      </c>
      <c r="C7" s="3"/>
      <c r="D7" s="3"/>
      <c r="E7" s="3"/>
      <c r="F7" s="3"/>
      <c r="G7" s="3"/>
      <c r="H7" s="3"/>
      <c r="I7" s="3"/>
      <c r="J7" s="3"/>
    </row>
    <row r="8" spans="1:10">
      <c r="A8" s="3"/>
      <c r="B8" s="3"/>
      <c r="C8" s="3"/>
      <c r="D8" s="3"/>
      <c r="E8" s="3"/>
      <c r="F8" s="3"/>
      <c r="G8" s="3"/>
      <c r="H8" s="3"/>
      <c r="I8" s="3"/>
      <c r="J8" s="3"/>
    </row>
    <row r="9" spans="1:10">
      <c r="A9" s="3" t="s">
        <v>362</v>
      </c>
      <c r="B9" s="3"/>
      <c r="C9" s="3"/>
      <c r="D9" s="3"/>
      <c r="E9" s="3" t="s">
        <v>363</v>
      </c>
      <c r="F9" s="3"/>
      <c r="G9" s="3"/>
      <c r="H9" s="3"/>
      <c r="I9" s="3"/>
      <c r="J9" s="3"/>
    </row>
    <row r="11" spans="1:10">
      <c r="A11" s="4" t="s">
        <v>364</v>
      </c>
      <c r="B11" s="5">
        <f>COUNTIF('IDADE POR TIPO DE VEICULO UFMG'!H:H,"Diesel")</f>
        <v>84</v>
      </c>
      <c r="D11" s="4" t="s">
        <v>91</v>
      </c>
      <c r="E11" s="5">
        <f>COUNTIF('IDADE POR TIPO DE VEICULO UFMG'!B:B,"AMAROK CD 4X4 SE")</f>
        <v>12</v>
      </c>
    </row>
    <row r="12" spans="1:10">
      <c r="A12" s="4" t="s">
        <v>365</v>
      </c>
      <c r="B12" s="5">
        <f>COUNTIF('IDADE POR TIPO DE VEICULO UFMG'!H:H,"Gasolina")</f>
        <v>61</v>
      </c>
    </row>
    <row r="13" spans="1:10">
      <c r="A13" s="4" t="s">
        <v>366</v>
      </c>
      <c r="B13" s="5">
        <f>COUNTIF('IDADE POR TIPO DE VEICULO UFMG'!H:H,"Flex")</f>
        <v>70</v>
      </c>
    </row>
    <row r="14" spans="1:10">
      <c r="A14" s="4" t="s">
        <v>367</v>
      </c>
      <c r="B14" s="5">
        <f>COUNTIF('IDADE POR TIPO DE VEICULO UFMG'!H:H,"Outros")</f>
        <v>15</v>
      </c>
    </row>
  </sheetData>
  <mergeCells count="1">
    <mergeCell ref="A3:B3"/>
  </mergeCells>
  <conditionalFormatting sqref="B4:B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B5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41"/>
  <sheetViews>
    <sheetView topLeftCell="A49" workbookViewId="0">
      <selection activeCell="B61" sqref="B61"/>
    </sheetView>
  </sheetViews>
  <sheetFormatPr defaultRowHeight="15"/>
  <cols>
    <col min="2" max="2" width="24" customWidth="1"/>
  </cols>
  <sheetData>
    <row r="1" spans="1:11">
      <c r="A1" t="s">
        <v>368</v>
      </c>
    </row>
    <row r="3" spans="1:11">
      <c r="A3" t="s">
        <v>2</v>
      </c>
      <c r="B3" t="s">
        <v>3</v>
      </c>
      <c r="C3" t="s">
        <v>1</v>
      </c>
      <c r="D3" t="s">
        <v>369</v>
      </c>
      <c r="E3" t="s">
        <v>0</v>
      </c>
      <c r="F3" t="s">
        <v>370</v>
      </c>
      <c r="G3" t="s">
        <v>371</v>
      </c>
      <c r="H3" t="s">
        <v>372</v>
      </c>
      <c r="I3" t="s">
        <v>373</v>
      </c>
      <c r="J3" t="s">
        <v>374</v>
      </c>
      <c r="K3" t="s">
        <v>375</v>
      </c>
    </row>
    <row r="4" spans="1:11">
      <c r="A4" t="s">
        <v>5</v>
      </c>
      <c r="B4" t="s">
        <v>6</v>
      </c>
      <c r="C4" t="s">
        <v>4</v>
      </c>
      <c r="D4" t="s">
        <v>376</v>
      </c>
      <c r="E4">
        <v>2020</v>
      </c>
      <c r="G4" t="s">
        <v>358</v>
      </c>
      <c r="H4" t="s">
        <v>364</v>
      </c>
      <c r="I4" t="s">
        <v>377</v>
      </c>
      <c r="J4" t="s">
        <v>378</v>
      </c>
      <c r="K4" t="s">
        <v>379</v>
      </c>
    </row>
    <row r="5" spans="1:11">
      <c r="A5" t="s">
        <v>7</v>
      </c>
      <c r="B5" t="s">
        <v>8</v>
      </c>
      <c r="C5" t="s">
        <v>4</v>
      </c>
      <c r="D5" t="s">
        <v>380</v>
      </c>
      <c r="E5">
        <v>1995</v>
      </c>
      <c r="F5" t="s">
        <v>381</v>
      </c>
      <c r="G5" t="s">
        <v>360</v>
      </c>
      <c r="H5" t="s">
        <v>364</v>
      </c>
      <c r="I5" t="s">
        <v>377</v>
      </c>
      <c r="J5" t="s">
        <v>378</v>
      </c>
      <c r="K5" t="s">
        <v>382</v>
      </c>
    </row>
    <row r="6" spans="1:11">
      <c r="A6" t="s">
        <v>10</v>
      </c>
      <c r="B6" t="s">
        <v>11</v>
      </c>
      <c r="C6" t="s">
        <v>9</v>
      </c>
      <c r="D6" t="s">
        <v>383</v>
      </c>
      <c r="E6">
        <v>2011</v>
      </c>
      <c r="F6" t="s">
        <v>381</v>
      </c>
      <c r="G6" t="s">
        <v>358</v>
      </c>
      <c r="H6" t="s">
        <v>364</v>
      </c>
      <c r="I6" t="s">
        <v>384</v>
      </c>
      <c r="J6" t="s">
        <v>385</v>
      </c>
      <c r="K6" t="s">
        <v>382</v>
      </c>
    </row>
    <row r="7" spans="1:11">
      <c r="A7" t="s">
        <v>13</v>
      </c>
      <c r="B7" t="s">
        <v>14</v>
      </c>
      <c r="C7" t="s">
        <v>12</v>
      </c>
      <c r="D7" t="s">
        <v>386</v>
      </c>
      <c r="E7">
        <v>1988</v>
      </c>
      <c r="F7" t="s">
        <v>381</v>
      </c>
      <c r="G7" t="s">
        <v>360</v>
      </c>
      <c r="H7" t="s">
        <v>364</v>
      </c>
      <c r="I7" t="s">
        <v>387</v>
      </c>
      <c r="J7" t="s">
        <v>388</v>
      </c>
      <c r="K7" t="s">
        <v>389</v>
      </c>
    </row>
    <row r="8" spans="1:11">
      <c r="A8" t="s">
        <v>16</v>
      </c>
      <c r="B8" t="s">
        <v>17</v>
      </c>
      <c r="C8" t="s">
        <v>15</v>
      </c>
      <c r="D8" t="s">
        <v>390</v>
      </c>
      <c r="E8">
        <v>2014</v>
      </c>
      <c r="F8" t="s">
        <v>381</v>
      </c>
      <c r="G8" t="s">
        <v>358</v>
      </c>
      <c r="H8" t="s">
        <v>364</v>
      </c>
      <c r="I8" t="s">
        <v>387</v>
      </c>
      <c r="J8" t="s">
        <v>391</v>
      </c>
      <c r="K8" t="s">
        <v>392</v>
      </c>
    </row>
    <row r="9" spans="1:11">
      <c r="A9" t="s">
        <v>19</v>
      </c>
      <c r="B9" t="s">
        <v>20</v>
      </c>
      <c r="C9" t="s">
        <v>18</v>
      </c>
      <c r="D9" t="s">
        <v>393</v>
      </c>
      <c r="E9">
        <v>2012</v>
      </c>
      <c r="F9" t="s">
        <v>381</v>
      </c>
      <c r="G9" t="s">
        <v>358</v>
      </c>
      <c r="H9" t="s">
        <v>364</v>
      </c>
      <c r="I9" t="s">
        <v>387</v>
      </c>
      <c r="J9" t="s">
        <v>391</v>
      </c>
      <c r="K9" t="s">
        <v>392</v>
      </c>
    </row>
    <row r="10" spans="1:11">
      <c r="A10" t="s">
        <v>21</v>
      </c>
      <c r="B10" t="s">
        <v>22</v>
      </c>
      <c r="C10" t="s">
        <v>12</v>
      </c>
      <c r="D10" s="1">
        <v>30800000000000</v>
      </c>
      <c r="E10">
        <v>1985</v>
      </c>
      <c r="F10" t="s">
        <v>394</v>
      </c>
      <c r="G10" t="s">
        <v>360</v>
      </c>
      <c r="H10" t="s">
        <v>364</v>
      </c>
      <c r="I10" t="s">
        <v>395</v>
      </c>
      <c r="J10" t="s">
        <v>396</v>
      </c>
      <c r="K10" t="s">
        <v>392</v>
      </c>
    </row>
    <row r="11" spans="1:11">
      <c r="A11" t="s">
        <v>23</v>
      </c>
      <c r="B11" t="s">
        <v>17</v>
      </c>
      <c r="C11" t="s">
        <v>15</v>
      </c>
      <c r="D11" t="s">
        <v>397</v>
      </c>
      <c r="E11">
        <v>2013</v>
      </c>
      <c r="F11" t="s">
        <v>381</v>
      </c>
      <c r="G11" t="s">
        <v>358</v>
      </c>
      <c r="H11" t="s">
        <v>364</v>
      </c>
      <c r="I11" t="s">
        <v>395</v>
      </c>
      <c r="J11" t="s">
        <v>398</v>
      </c>
      <c r="K11" t="s">
        <v>392</v>
      </c>
    </row>
    <row r="12" spans="1:11">
      <c r="A12" t="s">
        <v>24</v>
      </c>
      <c r="B12" t="s">
        <v>25</v>
      </c>
      <c r="C12" t="s">
        <v>18</v>
      </c>
      <c r="D12" t="s">
        <v>399</v>
      </c>
      <c r="E12">
        <v>2003</v>
      </c>
      <c r="F12" t="s">
        <v>381</v>
      </c>
      <c r="G12" t="s">
        <v>359</v>
      </c>
      <c r="H12" t="s">
        <v>364</v>
      </c>
      <c r="I12" t="s">
        <v>377</v>
      </c>
      <c r="J12" t="s">
        <v>400</v>
      </c>
      <c r="K12" t="s">
        <v>392</v>
      </c>
    </row>
    <row r="13" spans="1:11">
      <c r="A13" t="s">
        <v>26</v>
      </c>
      <c r="B13" t="s">
        <v>17</v>
      </c>
      <c r="C13" t="s">
        <v>15</v>
      </c>
      <c r="D13" t="s">
        <v>401</v>
      </c>
      <c r="E13">
        <v>2013</v>
      </c>
      <c r="F13" t="s">
        <v>381</v>
      </c>
      <c r="G13" t="s">
        <v>358</v>
      </c>
      <c r="H13" t="s">
        <v>364</v>
      </c>
      <c r="I13" t="s">
        <v>377</v>
      </c>
      <c r="J13" t="s">
        <v>400</v>
      </c>
      <c r="K13" t="s">
        <v>392</v>
      </c>
    </row>
    <row r="14" spans="1:11">
      <c r="A14" t="s">
        <v>28</v>
      </c>
      <c r="B14" t="s">
        <v>29</v>
      </c>
      <c r="C14" t="s">
        <v>27</v>
      </c>
      <c r="D14" t="s">
        <v>402</v>
      </c>
      <c r="E14">
        <v>2011</v>
      </c>
      <c r="F14" t="s">
        <v>403</v>
      </c>
      <c r="G14" t="s">
        <v>360</v>
      </c>
      <c r="H14" t="s">
        <v>364</v>
      </c>
      <c r="I14" t="s">
        <v>377</v>
      </c>
      <c r="J14" t="s">
        <v>400</v>
      </c>
      <c r="K14" t="s">
        <v>392</v>
      </c>
    </row>
    <row r="15" spans="1:11">
      <c r="A15" t="s">
        <v>30</v>
      </c>
      <c r="B15" t="s">
        <v>31</v>
      </c>
      <c r="C15" t="s">
        <v>12</v>
      </c>
      <c r="D15" s="1">
        <v>34400000000000</v>
      </c>
      <c r="E15">
        <v>1985</v>
      </c>
      <c r="F15" t="s">
        <v>381</v>
      </c>
      <c r="G15" t="s">
        <v>360</v>
      </c>
      <c r="H15" t="s">
        <v>364</v>
      </c>
      <c r="I15" t="s">
        <v>377</v>
      </c>
      <c r="J15" t="s">
        <v>378</v>
      </c>
      <c r="K15" t="s">
        <v>392</v>
      </c>
    </row>
    <row r="16" spans="1:11">
      <c r="A16" t="s">
        <v>32</v>
      </c>
      <c r="B16" t="s">
        <v>33</v>
      </c>
      <c r="C16" t="s">
        <v>15</v>
      </c>
      <c r="D16" t="s">
        <v>404</v>
      </c>
      <c r="E16">
        <v>2008</v>
      </c>
      <c r="F16" t="s">
        <v>381</v>
      </c>
      <c r="G16" t="s">
        <v>358</v>
      </c>
      <c r="H16" t="s">
        <v>364</v>
      </c>
      <c r="I16" t="s">
        <v>405</v>
      </c>
      <c r="J16" t="s">
        <v>406</v>
      </c>
      <c r="K16" t="s">
        <v>392</v>
      </c>
    </row>
    <row r="17" spans="1:11">
      <c r="A17" t="s">
        <v>34</v>
      </c>
      <c r="B17" t="s">
        <v>20</v>
      </c>
      <c r="C17" t="s">
        <v>18</v>
      </c>
      <c r="D17" t="s">
        <v>407</v>
      </c>
      <c r="E17">
        <v>2012</v>
      </c>
      <c r="F17" t="s">
        <v>381</v>
      </c>
      <c r="G17" t="s">
        <v>358</v>
      </c>
      <c r="H17" t="s">
        <v>364</v>
      </c>
      <c r="I17" t="s">
        <v>384</v>
      </c>
      <c r="J17" t="s">
        <v>385</v>
      </c>
      <c r="K17" t="s">
        <v>392</v>
      </c>
    </row>
    <row r="18" spans="1:11">
      <c r="A18" t="s">
        <v>35</v>
      </c>
      <c r="B18" t="s">
        <v>36</v>
      </c>
      <c r="C18" t="s">
        <v>12</v>
      </c>
      <c r="D18" t="s">
        <v>408</v>
      </c>
      <c r="E18">
        <v>2000</v>
      </c>
      <c r="F18" t="s">
        <v>381</v>
      </c>
      <c r="G18" t="s">
        <v>359</v>
      </c>
      <c r="H18" t="s">
        <v>364</v>
      </c>
      <c r="I18" t="s">
        <v>384</v>
      </c>
      <c r="J18" t="s">
        <v>409</v>
      </c>
      <c r="K18" t="s">
        <v>392</v>
      </c>
    </row>
    <row r="19" spans="1:11">
      <c r="A19" t="s">
        <v>37</v>
      </c>
      <c r="B19" t="s">
        <v>38</v>
      </c>
      <c r="C19" t="s">
        <v>9</v>
      </c>
      <c r="D19" t="s">
        <v>410</v>
      </c>
      <c r="E19">
        <v>2011</v>
      </c>
      <c r="F19" t="s">
        <v>381</v>
      </c>
      <c r="G19" t="s">
        <v>358</v>
      </c>
      <c r="H19" t="s">
        <v>364</v>
      </c>
      <c r="I19" t="s">
        <v>377</v>
      </c>
      <c r="J19" t="s">
        <v>400</v>
      </c>
      <c r="K19" t="s">
        <v>411</v>
      </c>
    </row>
    <row r="20" spans="1:11">
      <c r="A20" t="s">
        <v>39</v>
      </c>
      <c r="B20" t="s">
        <v>40</v>
      </c>
      <c r="C20" t="s">
        <v>9</v>
      </c>
      <c r="D20" t="s">
        <v>412</v>
      </c>
      <c r="E20">
        <v>1983</v>
      </c>
      <c r="F20" t="s">
        <v>381</v>
      </c>
      <c r="G20" t="s">
        <v>360</v>
      </c>
      <c r="H20" t="s">
        <v>413</v>
      </c>
      <c r="I20" t="s">
        <v>414</v>
      </c>
      <c r="J20" t="s">
        <v>415</v>
      </c>
      <c r="K20" t="s">
        <v>416</v>
      </c>
    </row>
    <row r="21" spans="1:11">
      <c r="A21" t="s">
        <v>42</v>
      </c>
      <c r="B21" t="s">
        <v>43</v>
      </c>
      <c r="C21" t="s">
        <v>41</v>
      </c>
      <c r="D21" t="s">
        <v>417</v>
      </c>
      <c r="E21">
        <v>2001</v>
      </c>
      <c r="F21" t="s">
        <v>381</v>
      </c>
      <c r="G21" t="s">
        <v>359</v>
      </c>
      <c r="H21" t="s">
        <v>364</v>
      </c>
      <c r="I21" t="s">
        <v>387</v>
      </c>
      <c r="J21" t="s">
        <v>391</v>
      </c>
      <c r="K21" t="s">
        <v>416</v>
      </c>
    </row>
    <row r="22" spans="1:11">
      <c r="A22" t="s">
        <v>44</v>
      </c>
      <c r="B22" t="s">
        <v>45</v>
      </c>
      <c r="C22" t="s">
        <v>41</v>
      </c>
      <c r="D22" t="s">
        <v>418</v>
      </c>
      <c r="E22">
        <v>2012</v>
      </c>
      <c r="G22" t="s">
        <v>358</v>
      </c>
      <c r="H22" t="s">
        <v>365</v>
      </c>
      <c r="I22" t="s">
        <v>387</v>
      </c>
      <c r="J22" t="s">
        <v>391</v>
      </c>
      <c r="K22" t="s">
        <v>416</v>
      </c>
    </row>
    <row r="23" spans="1:11">
      <c r="A23" t="s">
        <v>46</v>
      </c>
      <c r="B23" t="s">
        <v>47</v>
      </c>
      <c r="C23" t="s">
        <v>9</v>
      </c>
      <c r="D23" t="s">
        <v>419</v>
      </c>
      <c r="E23">
        <v>2000</v>
      </c>
      <c r="F23" t="s">
        <v>381</v>
      </c>
      <c r="G23" t="s">
        <v>359</v>
      </c>
      <c r="H23" t="s">
        <v>365</v>
      </c>
      <c r="I23" t="s">
        <v>420</v>
      </c>
      <c r="J23" t="s">
        <v>421</v>
      </c>
      <c r="K23" t="s">
        <v>416</v>
      </c>
    </row>
    <row r="24" spans="1:11">
      <c r="A24" t="s">
        <v>48</v>
      </c>
      <c r="B24" t="s">
        <v>49</v>
      </c>
      <c r="C24" t="s">
        <v>4</v>
      </c>
      <c r="D24" t="s">
        <v>422</v>
      </c>
      <c r="E24">
        <v>2012</v>
      </c>
      <c r="F24" t="s">
        <v>381</v>
      </c>
      <c r="G24" t="s">
        <v>358</v>
      </c>
      <c r="I24" t="s">
        <v>377</v>
      </c>
      <c r="J24" t="s">
        <v>423</v>
      </c>
      <c r="K24" t="s">
        <v>416</v>
      </c>
    </row>
    <row r="25" spans="1:11">
      <c r="A25" t="s">
        <v>50</v>
      </c>
      <c r="B25" t="s">
        <v>47</v>
      </c>
      <c r="C25" t="s">
        <v>9</v>
      </c>
      <c r="D25" t="s">
        <v>424</v>
      </c>
      <c r="E25">
        <v>2004</v>
      </c>
      <c r="F25" t="s">
        <v>425</v>
      </c>
      <c r="G25" t="s">
        <v>359</v>
      </c>
      <c r="H25" t="s">
        <v>365</v>
      </c>
      <c r="I25" t="s">
        <v>377</v>
      </c>
      <c r="J25" t="s">
        <v>400</v>
      </c>
      <c r="K25" t="s">
        <v>416</v>
      </c>
    </row>
    <row r="26" spans="1:11">
      <c r="A26" t="s">
        <v>51</v>
      </c>
      <c r="B26" t="s">
        <v>52</v>
      </c>
      <c r="C26" t="s">
        <v>4</v>
      </c>
      <c r="D26" t="s">
        <v>426</v>
      </c>
      <c r="E26">
        <v>1986</v>
      </c>
      <c r="F26" t="s">
        <v>381</v>
      </c>
      <c r="G26" t="s">
        <v>361</v>
      </c>
      <c r="H26" t="s">
        <v>413</v>
      </c>
      <c r="I26" t="s">
        <v>377</v>
      </c>
      <c r="J26" t="s">
        <v>427</v>
      </c>
      <c r="K26" t="s">
        <v>416</v>
      </c>
    </row>
    <row r="27" spans="1:11">
      <c r="A27" t="s">
        <v>54</v>
      </c>
      <c r="B27" t="s">
        <v>55</v>
      </c>
      <c r="C27" t="s">
        <v>53</v>
      </c>
      <c r="D27" t="s">
        <v>428</v>
      </c>
      <c r="E27">
        <v>1999</v>
      </c>
      <c r="F27" t="s">
        <v>394</v>
      </c>
      <c r="G27" t="s">
        <v>360</v>
      </c>
      <c r="H27" t="s">
        <v>365</v>
      </c>
      <c r="I27" t="s">
        <v>377</v>
      </c>
      <c r="J27" t="s">
        <v>427</v>
      </c>
      <c r="K27" t="s">
        <v>416</v>
      </c>
    </row>
    <row r="28" spans="1:11">
      <c r="A28" t="s">
        <v>56</v>
      </c>
      <c r="B28" t="s">
        <v>45</v>
      </c>
      <c r="C28" t="s">
        <v>41</v>
      </c>
      <c r="D28" t="s">
        <v>429</v>
      </c>
      <c r="E28">
        <v>2000</v>
      </c>
      <c r="F28" t="s">
        <v>381</v>
      </c>
      <c r="G28" t="s">
        <v>359</v>
      </c>
      <c r="H28" t="s">
        <v>365</v>
      </c>
      <c r="I28" t="s">
        <v>377</v>
      </c>
      <c r="J28" t="s">
        <v>378</v>
      </c>
      <c r="K28" t="s">
        <v>416</v>
      </c>
    </row>
    <row r="29" spans="1:11">
      <c r="A29" t="s">
        <v>57</v>
      </c>
      <c r="B29" t="s">
        <v>49</v>
      </c>
      <c r="C29" t="s">
        <v>4</v>
      </c>
      <c r="D29" t="s">
        <v>430</v>
      </c>
      <c r="E29">
        <v>2012</v>
      </c>
      <c r="F29" t="s">
        <v>381</v>
      </c>
      <c r="G29" t="s">
        <v>358</v>
      </c>
      <c r="H29" t="s">
        <v>366</v>
      </c>
      <c r="I29" t="s">
        <v>377</v>
      </c>
      <c r="J29" t="s">
        <v>378</v>
      </c>
      <c r="K29" t="s">
        <v>416</v>
      </c>
    </row>
    <row r="30" spans="1:11">
      <c r="A30" t="s">
        <v>58</v>
      </c>
      <c r="B30" t="s">
        <v>59</v>
      </c>
      <c r="C30" t="s">
        <v>9</v>
      </c>
      <c r="D30" t="s">
        <v>431</v>
      </c>
      <c r="E30">
        <v>2010</v>
      </c>
      <c r="F30" t="s">
        <v>381</v>
      </c>
      <c r="G30" t="s">
        <v>358</v>
      </c>
      <c r="H30" t="s">
        <v>364</v>
      </c>
      <c r="I30" t="s">
        <v>432</v>
      </c>
      <c r="J30" t="s">
        <v>433</v>
      </c>
      <c r="K30" t="s">
        <v>416</v>
      </c>
    </row>
    <row r="31" spans="1:11">
      <c r="A31" t="s">
        <v>60</v>
      </c>
      <c r="B31" t="s">
        <v>45</v>
      </c>
      <c r="C31" t="s">
        <v>41</v>
      </c>
      <c r="D31" t="s">
        <v>434</v>
      </c>
      <c r="E31">
        <v>2000</v>
      </c>
      <c r="F31" t="s">
        <v>381</v>
      </c>
      <c r="G31" t="s">
        <v>359</v>
      </c>
      <c r="H31" t="s">
        <v>365</v>
      </c>
      <c r="I31" t="s">
        <v>384</v>
      </c>
      <c r="J31" t="s">
        <v>435</v>
      </c>
      <c r="K31" t="s">
        <v>416</v>
      </c>
    </row>
    <row r="32" spans="1:11">
      <c r="A32" t="s">
        <v>61</v>
      </c>
      <c r="B32" t="s">
        <v>62</v>
      </c>
      <c r="C32" t="s">
        <v>4</v>
      </c>
      <c r="D32" t="s">
        <v>436</v>
      </c>
      <c r="E32">
        <v>2011</v>
      </c>
      <c r="F32" t="s">
        <v>437</v>
      </c>
      <c r="G32" t="s">
        <v>358</v>
      </c>
      <c r="H32" t="s">
        <v>366</v>
      </c>
      <c r="I32" t="s">
        <v>384</v>
      </c>
      <c r="J32" t="s">
        <v>438</v>
      </c>
      <c r="K32" t="s">
        <v>416</v>
      </c>
    </row>
    <row r="33" spans="1:11">
      <c r="A33" t="s">
        <v>63</v>
      </c>
      <c r="B33" t="s">
        <v>62</v>
      </c>
      <c r="C33" t="s">
        <v>4</v>
      </c>
      <c r="D33" t="s">
        <v>439</v>
      </c>
      <c r="E33">
        <v>2011</v>
      </c>
      <c r="F33" t="s">
        <v>440</v>
      </c>
      <c r="G33" t="s">
        <v>358</v>
      </c>
      <c r="H33" t="s">
        <v>366</v>
      </c>
      <c r="I33" t="s">
        <v>384</v>
      </c>
      <c r="J33" t="s">
        <v>441</v>
      </c>
      <c r="K33" t="s">
        <v>416</v>
      </c>
    </row>
    <row r="34" spans="1:11">
      <c r="A34" t="s">
        <v>64</v>
      </c>
      <c r="B34" t="s">
        <v>65</v>
      </c>
      <c r="C34" t="s">
        <v>18</v>
      </c>
      <c r="D34" t="s">
        <v>442</v>
      </c>
      <c r="E34">
        <v>2006</v>
      </c>
      <c r="F34" t="s">
        <v>381</v>
      </c>
      <c r="G34" t="s">
        <v>358</v>
      </c>
      <c r="H34" t="s">
        <v>364</v>
      </c>
      <c r="I34" t="s">
        <v>387</v>
      </c>
      <c r="J34" t="s">
        <v>391</v>
      </c>
      <c r="K34" t="s">
        <v>443</v>
      </c>
    </row>
    <row r="35" spans="1:11">
      <c r="A35" t="s">
        <v>66</v>
      </c>
      <c r="B35" t="s">
        <v>67</v>
      </c>
      <c r="C35" t="s">
        <v>18</v>
      </c>
      <c r="D35" t="s">
        <v>444</v>
      </c>
      <c r="E35">
        <v>2011</v>
      </c>
      <c r="F35" t="s">
        <v>381</v>
      </c>
      <c r="G35" t="s">
        <v>358</v>
      </c>
      <c r="H35" t="s">
        <v>364</v>
      </c>
      <c r="I35" t="s">
        <v>387</v>
      </c>
      <c r="J35" t="s">
        <v>391</v>
      </c>
      <c r="K35" t="s">
        <v>443</v>
      </c>
    </row>
    <row r="36" spans="1:11">
      <c r="A36" t="s">
        <v>68</v>
      </c>
      <c r="B36" t="s">
        <v>69</v>
      </c>
      <c r="C36" t="s">
        <v>4</v>
      </c>
      <c r="D36" t="s">
        <v>445</v>
      </c>
      <c r="E36">
        <v>2006</v>
      </c>
      <c r="F36" t="s">
        <v>446</v>
      </c>
      <c r="G36" t="s">
        <v>358</v>
      </c>
      <c r="H36" t="s">
        <v>366</v>
      </c>
      <c r="I36" t="s">
        <v>377</v>
      </c>
      <c r="J36" t="s">
        <v>400</v>
      </c>
      <c r="K36" t="s">
        <v>443</v>
      </c>
    </row>
    <row r="37" spans="1:11">
      <c r="A37" t="s">
        <v>70</v>
      </c>
      <c r="B37" t="s">
        <v>71</v>
      </c>
      <c r="C37" t="s">
        <v>12</v>
      </c>
      <c r="D37" t="s">
        <v>447</v>
      </c>
      <c r="E37">
        <v>2008</v>
      </c>
      <c r="F37" t="s">
        <v>448</v>
      </c>
      <c r="G37" t="s">
        <v>358</v>
      </c>
      <c r="H37" t="s">
        <v>364</v>
      </c>
      <c r="I37" t="s">
        <v>449</v>
      </c>
      <c r="J37" t="s">
        <v>450</v>
      </c>
      <c r="K37" t="s">
        <v>451</v>
      </c>
    </row>
    <row r="38" spans="1:11">
      <c r="A38" t="s">
        <v>73</v>
      </c>
      <c r="B38" t="s">
        <v>72</v>
      </c>
      <c r="C38" t="s">
        <v>72</v>
      </c>
      <c r="D38" t="s">
        <v>452</v>
      </c>
      <c r="E38">
        <v>1984</v>
      </c>
      <c r="F38" t="s">
        <v>381</v>
      </c>
      <c r="G38" t="s">
        <v>360</v>
      </c>
      <c r="H38" t="s">
        <v>367</v>
      </c>
      <c r="I38" t="s">
        <v>387</v>
      </c>
      <c r="J38" t="s">
        <v>391</v>
      </c>
      <c r="K38" t="s">
        <v>453</v>
      </c>
    </row>
    <row r="39" spans="1:11">
      <c r="A39" t="s">
        <v>74</v>
      </c>
      <c r="B39" t="s">
        <v>72</v>
      </c>
      <c r="C39" t="s">
        <v>72</v>
      </c>
      <c r="D39" t="s">
        <v>454</v>
      </c>
      <c r="E39">
        <v>2009</v>
      </c>
      <c r="F39" t="s">
        <v>455</v>
      </c>
      <c r="G39" t="s">
        <v>358</v>
      </c>
      <c r="H39" t="s">
        <v>367</v>
      </c>
      <c r="I39" t="s">
        <v>387</v>
      </c>
      <c r="J39" t="s">
        <v>391</v>
      </c>
      <c r="K39" t="s">
        <v>453</v>
      </c>
    </row>
    <row r="40" spans="1:11">
      <c r="A40" t="s">
        <v>75</v>
      </c>
      <c r="B40" t="s">
        <v>72</v>
      </c>
      <c r="C40" t="s">
        <v>72</v>
      </c>
      <c r="D40" t="s">
        <v>456</v>
      </c>
      <c r="E40">
        <v>1986</v>
      </c>
      <c r="F40" t="s">
        <v>394</v>
      </c>
      <c r="G40" t="s">
        <v>360</v>
      </c>
      <c r="H40" t="s">
        <v>367</v>
      </c>
      <c r="I40" t="s">
        <v>457</v>
      </c>
      <c r="J40" t="s">
        <v>458</v>
      </c>
      <c r="K40" t="s">
        <v>453</v>
      </c>
    </row>
    <row r="41" spans="1:11">
      <c r="A41" t="s">
        <v>76</v>
      </c>
      <c r="B41" t="s">
        <v>72</v>
      </c>
      <c r="C41" t="s">
        <v>72</v>
      </c>
      <c r="D41" t="s">
        <v>459</v>
      </c>
      <c r="E41">
        <v>2006</v>
      </c>
      <c r="F41" t="s">
        <v>460</v>
      </c>
      <c r="G41" t="s">
        <v>358</v>
      </c>
      <c r="H41" t="s">
        <v>367</v>
      </c>
      <c r="I41" t="s">
        <v>457</v>
      </c>
      <c r="J41" t="s">
        <v>458</v>
      </c>
      <c r="K41" t="s">
        <v>453</v>
      </c>
    </row>
    <row r="42" spans="1:11">
      <c r="A42" t="s">
        <v>77</v>
      </c>
      <c r="B42" t="s">
        <v>72</v>
      </c>
      <c r="C42" t="s">
        <v>72</v>
      </c>
      <c r="D42" t="s">
        <v>461</v>
      </c>
      <c r="E42">
        <v>1992</v>
      </c>
      <c r="F42" t="s">
        <v>462</v>
      </c>
      <c r="G42" t="s">
        <v>360</v>
      </c>
      <c r="H42" t="s">
        <v>367</v>
      </c>
      <c r="I42" t="s">
        <v>457</v>
      </c>
      <c r="J42" t="s">
        <v>463</v>
      </c>
      <c r="K42" t="s">
        <v>453</v>
      </c>
    </row>
    <row r="43" spans="1:11">
      <c r="A43" t="s">
        <v>78</v>
      </c>
      <c r="B43" t="s">
        <v>72</v>
      </c>
      <c r="C43" t="s">
        <v>72</v>
      </c>
      <c r="D43" t="s">
        <v>464</v>
      </c>
      <c r="E43">
        <v>1996</v>
      </c>
      <c r="F43" t="s">
        <v>465</v>
      </c>
      <c r="G43" t="s">
        <v>360</v>
      </c>
      <c r="H43" t="s">
        <v>367</v>
      </c>
      <c r="I43" t="s">
        <v>457</v>
      </c>
      <c r="J43" t="s">
        <v>463</v>
      </c>
      <c r="K43" t="s">
        <v>453</v>
      </c>
    </row>
    <row r="44" spans="1:11">
      <c r="A44" t="s">
        <v>79</v>
      </c>
      <c r="B44" t="s">
        <v>72</v>
      </c>
      <c r="C44" t="s">
        <v>72</v>
      </c>
      <c r="D44" t="s">
        <v>466</v>
      </c>
      <c r="E44">
        <v>2006</v>
      </c>
      <c r="F44" t="s">
        <v>467</v>
      </c>
      <c r="G44" t="s">
        <v>359</v>
      </c>
      <c r="H44" t="s">
        <v>367</v>
      </c>
      <c r="I44" t="s">
        <v>457</v>
      </c>
      <c r="J44" t="s">
        <v>463</v>
      </c>
      <c r="K44" t="s">
        <v>453</v>
      </c>
    </row>
    <row r="45" spans="1:11">
      <c r="A45" t="s">
        <v>80</v>
      </c>
      <c r="B45" t="s">
        <v>72</v>
      </c>
      <c r="C45" t="s">
        <v>72</v>
      </c>
      <c r="D45" t="s">
        <v>468</v>
      </c>
      <c r="E45">
        <v>2011</v>
      </c>
      <c r="F45" t="s">
        <v>381</v>
      </c>
      <c r="G45" t="s">
        <v>358</v>
      </c>
      <c r="H45" t="s">
        <v>367</v>
      </c>
      <c r="I45" t="s">
        <v>395</v>
      </c>
      <c r="J45" t="s">
        <v>396</v>
      </c>
      <c r="K45" t="s">
        <v>453</v>
      </c>
    </row>
    <row r="46" spans="1:11">
      <c r="A46" t="s">
        <v>81</v>
      </c>
      <c r="B46" t="s">
        <v>72</v>
      </c>
      <c r="C46" t="s">
        <v>72</v>
      </c>
      <c r="D46" t="s">
        <v>469</v>
      </c>
      <c r="E46">
        <v>2017</v>
      </c>
      <c r="F46" t="s">
        <v>381</v>
      </c>
      <c r="G46" t="s">
        <v>358</v>
      </c>
      <c r="H46" t="s">
        <v>365</v>
      </c>
      <c r="I46" t="s">
        <v>377</v>
      </c>
      <c r="J46" t="s">
        <v>378</v>
      </c>
      <c r="K46" t="s">
        <v>453</v>
      </c>
    </row>
    <row r="47" spans="1:11">
      <c r="A47" t="s">
        <v>82</v>
      </c>
      <c r="B47" t="s">
        <v>72</v>
      </c>
      <c r="C47" t="s">
        <v>72</v>
      </c>
      <c r="D47" t="s">
        <v>470</v>
      </c>
      <c r="E47">
        <v>2004</v>
      </c>
      <c r="F47" t="s">
        <v>381</v>
      </c>
      <c r="G47" t="s">
        <v>359</v>
      </c>
      <c r="H47" t="s">
        <v>367</v>
      </c>
      <c r="I47" t="s">
        <v>377</v>
      </c>
      <c r="J47" t="s">
        <v>378</v>
      </c>
      <c r="K47" t="s">
        <v>453</v>
      </c>
    </row>
    <row r="48" spans="1:11">
      <c r="A48" t="s">
        <v>83</v>
      </c>
      <c r="B48" t="s">
        <v>72</v>
      </c>
      <c r="C48" t="s">
        <v>72</v>
      </c>
      <c r="D48" t="s">
        <v>471</v>
      </c>
      <c r="E48">
        <v>2011</v>
      </c>
      <c r="F48" t="s">
        <v>381</v>
      </c>
      <c r="G48" t="s">
        <v>358</v>
      </c>
      <c r="H48" t="s">
        <v>367</v>
      </c>
      <c r="I48" t="s">
        <v>384</v>
      </c>
      <c r="J48" t="s">
        <v>472</v>
      </c>
      <c r="K48" t="s">
        <v>453</v>
      </c>
    </row>
    <row r="49" spans="1:11">
      <c r="A49" t="s">
        <v>84</v>
      </c>
      <c r="B49" t="s">
        <v>72</v>
      </c>
      <c r="C49" t="s">
        <v>72</v>
      </c>
      <c r="D49" t="s">
        <v>473</v>
      </c>
      <c r="E49">
        <v>2003</v>
      </c>
      <c r="F49" t="s">
        <v>474</v>
      </c>
      <c r="G49" t="s">
        <v>359</v>
      </c>
      <c r="H49" t="s">
        <v>367</v>
      </c>
      <c r="I49" t="s">
        <v>384</v>
      </c>
      <c r="J49" t="s">
        <v>409</v>
      </c>
      <c r="K49" t="s">
        <v>453</v>
      </c>
    </row>
    <row r="50" spans="1:11">
      <c r="A50" t="s">
        <v>86</v>
      </c>
      <c r="B50" t="s">
        <v>87</v>
      </c>
      <c r="C50" t="s">
        <v>85</v>
      </c>
      <c r="D50" t="s">
        <v>475</v>
      </c>
      <c r="E50">
        <v>2009</v>
      </c>
      <c r="F50" t="s">
        <v>448</v>
      </c>
      <c r="G50" t="s">
        <v>358</v>
      </c>
      <c r="H50" t="s">
        <v>367</v>
      </c>
      <c r="I50" t="s">
        <v>449</v>
      </c>
      <c r="J50" t="s">
        <v>450</v>
      </c>
      <c r="K50" t="s">
        <v>476</v>
      </c>
    </row>
    <row r="51" spans="1:11">
      <c r="A51" t="s">
        <v>88</v>
      </c>
      <c r="B51" t="s">
        <v>89</v>
      </c>
      <c r="C51" t="s">
        <v>12</v>
      </c>
      <c r="D51" t="s">
        <v>477</v>
      </c>
      <c r="E51">
        <v>2014</v>
      </c>
      <c r="F51" t="s">
        <v>381</v>
      </c>
      <c r="G51" t="s">
        <v>358</v>
      </c>
      <c r="H51" t="s">
        <v>364</v>
      </c>
      <c r="I51" t="s">
        <v>478</v>
      </c>
      <c r="J51" t="s">
        <v>479</v>
      </c>
      <c r="K51" t="s">
        <v>480</v>
      </c>
    </row>
    <row r="52" spans="1:11">
      <c r="A52" t="s">
        <v>90</v>
      </c>
      <c r="B52" t="s">
        <v>91</v>
      </c>
      <c r="C52" t="s">
        <v>4</v>
      </c>
      <c r="D52" t="s">
        <v>481</v>
      </c>
      <c r="E52">
        <v>2014</v>
      </c>
      <c r="F52" t="s">
        <v>381</v>
      </c>
      <c r="G52" t="s">
        <v>358</v>
      </c>
      <c r="H52" t="s">
        <v>364</v>
      </c>
      <c r="I52" t="s">
        <v>414</v>
      </c>
      <c r="J52" t="s">
        <v>482</v>
      </c>
      <c r="K52" t="s">
        <v>483</v>
      </c>
    </row>
    <row r="53" spans="1:11">
      <c r="A53" t="s">
        <v>92</v>
      </c>
      <c r="B53" t="s">
        <v>91</v>
      </c>
      <c r="C53" t="s">
        <v>4</v>
      </c>
      <c r="D53" t="s">
        <v>484</v>
      </c>
      <c r="E53">
        <v>2012</v>
      </c>
      <c r="F53" t="s">
        <v>381</v>
      </c>
      <c r="G53" t="s">
        <v>358</v>
      </c>
      <c r="H53" t="s">
        <v>364</v>
      </c>
      <c r="I53" t="s">
        <v>387</v>
      </c>
      <c r="J53" t="s">
        <v>391</v>
      </c>
      <c r="K53" t="s">
        <v>483</v>
      </c>
    </row>
    <row r="54" spans="1:11">
      <c r="A54" t="s">
        <v>93</v>
      </c>
      <c r="B54" t="s">
        <v>91</v>
      </c>
      <c r="C54" t="s">
        <v>4</v>
      </c>
      <c r="D54" t="s">
        <v>485</v>
      </c>
      <c r="E54">
        <v>2014</v>
      </c>
      <c r="F54" t="s">
        <v>381</v>
      </c>
      <c r="G54" t="s">
        <v>358</v>
      </c>
      <c r="H54" t="s">
        <v>364</v>
      </c>
      <c r="I54" t="s">
        <v>486</v>
      </c>
      <c r="J54" t="s">
        <v>487</v>
      </c>
      <c r="K54" t="s">
        <v>483</v>
      </c>
    </row>
    <row r="55" spans="1:11">
      <c r="A55" t="s">
        <v>94</v>
      </c>
      <c r="B55" t="s">
        <v>91</v>
      </c>
      <c r="C55" t="s">
        <v>4</v>
      </c>
      <c r="D55" t="s">
        <v>488</v>
      </c>
      <c r="E55">
        <v>2013</v>
      </c>
      <c r="F55" t="s">
        <v>381</v>
      </c>
      <c r="G55" t="s">
        <v>358</v>
      </c>
      <c r="H55" t="s">
        <v>364</v>
      </c>
      <c r="I55" t="s">
        <v>457</v>
      </c>
      <c r="J55" t="s">
        <v>489</v>
      </c>
      <c r="K55" t="s">
        <v>483</v>
      </c>
    </row>
    <row r="56" spans="1:11">
      <c r="A56" t="s">
        <v>95</v>
      </c>
      <c r="B56" t="s">
        <v>91</v>
      </c>
      <c r="C56" t="s">
        <v>4</v>
      </c>
      <c r="D56" t="s">
        <v>490</v>
      </c>
      <c r="E56">
        <v>2011</v>
      </c>
      <c r="F56" t="s">
        <v>491</v>
      </c>
      <c r="G56" t="s">
        <v>358</v>
      </c>
      <c r="H56" t="s">
        <v>364</v>
      </c>
      <c r="I56" t="s">
        <v>457</v>
      </c>
      <c r="J56" t="s">
        <v>458</v>
      </c>
      <c r="K56" t="s">
        <v>483</v>
      </c>
    </row>
    <row r="57" spans="1:11">
      <c r="A57" t="s">
        <v>96</v>
      </c>
      <c r="B57" t="s">
        <v>91</v>
      </c>
      <c r="C57" t="s">
        <v>4</v>
      </c>
      <c r="D57" t="s">
        <v>492</v>
      </c>
      <c r="E57">
        <v>2014</v>
      </c>
      <c r="F57" t="s">
        <v>381</v>
      </c>
      <c r="G57" t="s">
        <v>358</v>
      </c>
      <c r="H57" t="s">
        <v>364</v>
      </c>
      <c r="I57" t="s">
        <v>493</v>
      </c>
      <c r="J57" t="s">
        <v>494</v>
      </c>
      <c r="K57" t="s">
        <v>483</v>
      </c>
    </row>
    <row r="58" spans="1:11">
      <c r="A58" t="s">
        <v>97</v>
      </c>
      <c r="B58" t="s">
        <v>91</v>
      </c>
      <c r="C58" t="s">
        <v>4</v>
      </c>
      <c r="D58" t="s">
        <v>495</v>
      </c>
      <c r="E58">
        <v>2013</v>
      </c>
      <c r="F58" t="s">
        <v>381</v>
      </c>
      <c r="G58" t="s">
        <v>358</v>
      </c>
      <c r="H58" t="s">
        <v>364</v>
      </c>
      <c r="I58" t="s">
        <v>496</v>
      </c>
      <c r="J58" t="s">
        <v>497</v>
      </c>
      <c r="K58" t="s">
        <v>483</v>
      </c>
    </row>
    <row r="59" spans="1:11">
      <c r="A59" t="s">
        <v>98</v>
      </c>
      <c r="B59" t="s">
        <v>91</v>
      </c>
      <c r="C59" t="s">
        <v>4</v>
      </c>
      <c r="D59" t="s">
        <v>498</v>
      </c>
      <c r="E59">
        <v>2012</v>
      </c>
      <c r="F59" t="s">
        <v>381</v>
      </c>
      <c r="G59" t="s">
        <v>358</v>
      </c>
      <c r="H59" t="s">
        <v>364</v>
      </c>
      <c r="I59" t="s">
        <v>395</v>
      </c>
      <c r="J59" t="s">
        <v>398</v>
      </c>
      <c r="K59" t="s">
        <v>483</v>
      </c>
    </row>
    <row r="60" spans="1:11">
      <c r="A60" t="s">
        <v>99</v>
      </c>
      <c r="B60" t="s">
        <v>100</v>
      </c>
      <c r="C60" t="s">
        <v>53</v>
      </c>
      <c r="D60" t="s">
        <v>499</v>
      </c>
      <c r="E60">
        <v>2014</v>
      </c>
      <c r="F60" t="s">
        <v>500</v>
      </c>
      <c r="G60" t="s">
        <v>358</v>
      </c>
      <c r="H60" t="s">
        <v>366</v>
      </c>
      <c r="I60" t="s">
        <v>395</v>
      </c>
      <c r="J60" t="s">
        <v>398</v>
      </c>
      <c r="K60" t="s">
        <v>483</v>
      </c>
    </row>
    <row r="61" spans="1:11">
      <c r="A61" t="s">
        <v>101</v>
      </c>
      <c r="B61" t="s">
        <v>91</v>
      </c>
      <c r="C61" t="s">
        <v>4</v>
      </c>
      <c r="D61" t="s">
        <v>501</v>
      </c>
      <c r="E61">
        <v>2012</v>
      </c>
      <c r="F61" t="s">
        <v>381</v>
      </c>
      <c r="G61" t="s">
        <v>358</v>
      </c>
      <c r="H61" t="s">
        <v>364</v>
      </c>
      <c r="I61" t="s">
        <v>377</v>
      </c>
      <c r="J61" t="s">
        <v>423</v>
      </c>
      <c r="K61" t="s">
        <v>483</v>
      </c>
    </row>
    <row r="62" spans="1:11">
      <c r="A62" t="s">
        <v>102</v>
      </c>
      <c r="B62" t="s">
        <v>91</v>
      </c>
      <c r="C62" t="s">
        <v>4</v>
      </c>
      <c r="D62" t="s">
        <v>502</v>
      </c>
      <c r="E62">
        <v>2012</v>
      </c>
      <c r="F62" t="s">
        <v>381</v>
      </c>
      <c r="G62" t="s">
        <v>358</v>
      </c>
      <c r="H62" t="s">
        <v>364</v>
      </c>
      <c r="I62" t="s">
        <v>503</v>
      </c>
      <c r="J62" t="s">
        <v>504</v>
      </c>
      <c r="K62" t="s">
        <v>483</v>
      </c>
    </row>
    <row r="63" spans="1:11">
      <c r="A63" t="s">
        <v>103</v>
      </c>
      <c r="B63" t="s">
        <v>91</v>
      </c>
      <c r="C63" t="s">
        <v>4</v>
      </c>
      <c r="D63" t="s">
        <v>505</v>
      </c>
      <c r="E63">
        <v>2012</v>
      </c>
      <c r="F63" t="s">
        <v>381</v>
      </c>
      <c r="G63" t="s">
        <v>358</v>
      </c>
      <c r="H63" t="s">
        <v>364</v>
      </c>
      <c r="I63" t="s">
        <v>405</v>
      </c>
      <c r="J63" t="s">
        <v>506</v>
      </c>
      <c r="K63" t="s">
        <v>483</v>
      </c>
    </row>
    <row r="64" spans="1:11">
      <c r="A64" t="s">
        <v>104</v>
      </c>
      <c r="B64" t="s">
        <v>91</v>
      </c>
      <c r="C64" t="s">
        <v>4</v>
      </c>
      <c r="D64" t="s">
        <v>507</v>
      </c>
      <c r="E64">
        <v>2012</v>
      </c>
      <c r="F64" t="s">
        <v>381</v>
      </c>
      <c r="G64" t="s">
        <v>358</v>
      </c>
      <c r="H64" t="s">
        <v>364</v>
      </c>
      <c r="I64" t="s">
        <v>384</v>
      </c>
      <c r="J64" t="s">
        <v>385</v>
      </c>
      <c r="K64" t="s">
        <v>483</v>
      </c>
    </row>
    <row r="65" spans="1:11">
      <c r="A65" t="s">
        <v>106</v>
      </c>
      <c r="B65" t="s">
        <v>107</v>
      </c>
      <c r="C65" t="s">
        <v>105</v>
      </c>
      <c r="D65" t="s">
        <v>508</v>
      </c>
      <c r="E65">
        <v>2006</v>
      </c>
      <c r="F65" t="s">
        <v>509</v>
      </c>
      <c r="G65" t="s">
        <v>358</v>
      </c>
      <c r="H65" t="s">
        <v>364</v>
      </c>
      <c r="I65" t="s">
        <v>510</v>
      </c>
      <c r="J65" t="s">
        <v>511</v>
      </c>
      <c r="K65" t="s">
        <v>512</v>
      </c>
    </row>
    <row r="66" spans="1:11">
      <c r="A66" t="s">
        <v>108</v>
      </c>
      <c r="B66" t="s">
        <v>107</v>
      </c>
      <c r="C66" t="s">
        <v>105</v>
      </c>
      <c r="D66" t="s">
        <v>513</v>
      </c>
      <c r="E66">
        <v>2006</v>
      </c>
      <c r="F66" t="s">
        <v>514</v>
      </c>
      <c r="G66" t="s">
        <v>358</v>
      </c>
      <c r="H66" t="s">
        <v>364</v>
      </c>
      <c r="I66" t="s">
        <v>515</v>
      </c>
      <c r="J66" t="s">
        <v>516</v>
      </c>
      <c r="K66" t="s">
        <v>512</v>
      </c>
    </row>
    <row r="67" spans="1:11">
      <c r="A67" t="s">
        <v>109</v>
      </c>
      <c r="B67" t="s">
        <v>107</v>
      </c>
      <c r="C67" t="s">
        <v>105</v>
      </c>
      <c r="D67" t="s">
        <v>517</v>
      </c>
      <c r="E67">
        <v>2006</v>
      </c>
      <c r="F67" t="s">
        <v>518</v>
      </c>
      <c r="G67" t="s">
        <v>358</v>
      </c>
      <c r="H67" t="s">
        <v>364</v>
      </c>
      <c r="I67" t="s">
        <v>515</v>
      </c>
      <c r="J67" t="s">
        <v>516</v>
      </c>
      <c r="K67" t="s">
        <v>512</v>
      </c>
    </row>
    <row r="68" spans="1:11">
      <c r="A68" t="s">
        <v>110</v>
      </c>
      <c r="B68" t="s">
        <v>107</v>
      </c>
      <c r="C68" t="s">
        <v>105</v>
      </c>
      <c r="D68" t="s">
        <v>519</v>
      </c>
      <c r="E68">
        <v>2006</v>
      </c>
      <c r="F68" t="s">
        <v>520</v>
      </c>
      <c r="G68" t="s">
        <v>358</v>
      </c>
      <c r="H68" t="s">
        <v>364</v>
      </c>
      <c r="I68" t="s">
        <v>521</v>
      </c>
      <c r="J68" t="s">
        <v>522</v>
      </c>
      <c r="K68" t="s">
        <v>512</v>
      </c>
    </row>
    <row r="69" spans="1:11">
      <c r="A69" t="s">
        <v>111</v>
      </c>
      <c r="B69" t="s">
        <v>112</v>
      </c>
      <c r="C69" t="s">
        <v>41</v>
      </c>
      <c r="D69" t="s">
        <v>523</v>
      </c>
      <c r="E69">
        <v>2001</v>
      </c>
      <c r="F69" t="s">
        <v>524</v>
      </c>
      <c r="G69" t="s">
        <v>358</v>
      </c>
      <c r="H69" t="s">
        <v>364</v>
      </c>
      <c r="I69" t="s">
        <v>384</v>
      </c>
      <c r="J69" t="s">
        <v>435</v>
      </c>
      <c r="K69" t="s">
        <v>512</v>
      </c>
    </row>
    <row r="70" spans="1:11">
      <c r="A70" t="s">
        <v>113</v>
      </c>
      <c r="B70" t="s">
        <v>114</v>
      </c>
      <c r="C70" t="s">
        <v>4</v>
      </c>
      <c r="D70" t="s">
        <v>525</v>
      </c>
      <c r="E70">
        <v>2006</v>
      </c>
      <c r="F70" t="s">
        <v>381</v>
      </c>
      <c r="G70" t="s">
        <v>358</v>
      </c>
      <c r="H70" t="s">
        <v>366</v>
      </c>
      <c r="I70" t="s">
        <v>526</v>
      </c>
      <c r="J70" t="s">
        <v>527</v>
      </c>
      <c r="K70" t="s">
        <v>528</v>
      </c>
    </row>
    <row r="71" spans="1:11">
      <c r="A71" t="s">
        <v>115</v>
      </c>
      <c r="B71" t="s">
        <v>114</v>
      </c>
      <c r="C71" t="s">
        <v>4</v>
      </c>
      <c r="D71" t="s">
        <v>529</v>
      </c>
      <c r="E71">
        <v>2006</v>
      </c>
      <c r="F71" t="s">
        <v>381</v>
      </c>
      <c r="G71" t="s">
        <v>358</v>
      </c>
      <c r="H71" t="s">
        <v>366</v>
      </c>
      <c r="I71" t="s">
        <v>530</v>
      </c>
      <c r="J71" t="s">
        <v>531</v>
      </c>
      <c r="K71" t="s">
        <v>528</v>
      </c>
    </row>
    <row r="72" spans="1:11">
      <c r="A72" t="s">
        <v>116</v>
      </c>
      <c r="B72" t="s">
        <v>114</v>
      </c>
      <c r="C72" t="s">
        <v>4</v>
      </c>
      <c r="D72" t="s">
        <v>532</v>
      </c>
      <c r="E72">
        <v>2008</v>
      </c>
      <c r="F72" t="s">
        <v>381</v>
      </c>
      <c r="G72" t="s">
        <v>358</v>
      </c>
      <c r="H72" t="s">
        <v>366</v>
      </c>
      <c r="I72" t="s">
        <v>387</v>
      </c>
      <c r="J72" t="s">
        <v>391</v>
      </c>
      <c r="K72" t="s">
        <v>528</v>
      </c>
    </row>
    <row r="73" spans="1:11">
      <c r="A73" t="s">
        <v>117</v>
      </c>
      <c r="B73" t="s">
        <v>114</v>
      </c>
      <c r="C73" t="s">
        <v>4</v>
      </c>
      <c r="D73" t="s">
        <v>533</v>
      </c>
      <c r="E73">
        <v>2008</v>
      </c>
      <c r="F73" t="s">
        <v>381</v>
      </c>
      <c r="G73" t="s">
        <v>358</v>
      </c>
      <c r="H73" t="s">
        <v>366</v>
      </c>
      <c r="I73" t="s">
        <v>387</v>
      </c>
      <c r="J73" t="s">
        <v>391</v>
      </c>
      <c r="K73" t="s">
        <v>528</v>
      </c>
    </row>
    <row r="74" spans="1:11">
      <c r="A74" t="s">
        <v>118</v>
      </c>
      <c r="B74" t="s">
        <v>114</v>
      </c>
      <c r="C74" t="s">
        <v>4</v>
      </c>
      <c r="D74" t="s">
        <v>534</v>
      </c>
      <c r="E74">
        <v>2011</v>
      </c>
      <c r="F74" t="s">
        <v>381</v>
      </c>
      <c r="G74" t="s">
        <v>358</v>
      </c>
      <c r="H74" t="s">
        <v>366</v>
      </c>
      <c r="I74" t="s">
        <v>387</v>
      </c>
      <c r="J74" t="s">
        <v>391</v>
      </c>
      <c r="K74" t="s">
        <v>528</v>
      </c>
    </row>
    <row r="75" spans="1:11">
      <c r="A75" t="s">
        <v>119</v>
      </c>
      <c r="B75" t="s">
        <v>114</v>
      </c>
      <c r="C75" t="s">
        <v>4</v>
      </c>
      <c r="D75" t="s">
        <v>535</v>
      </c>
      <c r="E75">
        <v>2011</v>
      </c>
      <c r="F75" t="s">
        <v>381</v>
      </c>
      <c r="G75" t="s">
        <v>358</v>
      </c>
      <c r="H75" t="s">
        <v>366</v>
      </c>
      <c r="I75" t="s">
        <v>387</v>
      </c>
      <c r="J75" t="s">
        <v>391</v>
      </c>
      <c r="K75" t="s">
        <v>528</v>
      </c>
    </row>
    <row r="76" spans="1:11">
      <c r="A76" t="s">
        <v>120</v>
      </c>
      <c r="B76" t="s">
        <v>114</v>
      </c>
      <c r="C76" t="s">
        <v>4</v>
      </c>
      <c r="D76" t="s">
        <v>536</v>
      </c>
      <c r="E76">
        <v>2010</v>
      </c>
      <c r="F76" t="s">
        <v>381</v>
      </c>
      <c r="G76" t="s">
        <v>358</v>
      </c>
      <c r="H76" t="s">
        <v>365</v>
      </c>
      <c r="I76" t="s">
        <v>486</v>
      </c>
      <c r="J76" t="s">
        <v>487</v>
      </c>
      <c r="K76" t="s">
        <v>528</v>
      </c>
    </row>
    <row r="77" spans="1:11">
      <c r="A77" t="s">
        <v>121</v>
      </c>
      <c r="B77" t="s">
        <v>122</v>
      </c>
      <c r="C77" t="s">
        <v>4</v>
      </c>
      <c r="D77" t="s">
        <v>537</v>
      </c>
      <c r="E77">
        <v>2012</v>
      </c>
      <c r="F77" t="s">
        <v>381</v>
      </c>
      <c r="G77" t="s">
        <v>358</v>
      </c>
      <c r="H77" t="s">
        <v>365</v>
      </c>
      <c r="I77" t="s">
        <v>515</v>
      </c>
      <c r="J77" t="s">
        <v>516</v>
      </c>
      <c r="K77" t="s">
        <v>528</v>
      </c>
    </row>
    <row r="78" spans="1:11">
      <c r="A78" t="s">
        <v>123</v>
      </c>
      <c r="B78" t="s">
        <v>114</v>
      </c>
      <c r="C78" t="s">
        <v>4</v>
      </c>
      <c r="D78" t="s">
        <v>538</v>
      </c>
      <c r="E78">
        <v>2008</v>
      </c>
      <c r="F78" t="s">
        <v>381</v>
      </c>
      <c r="G78" t="s">
        <v>358</v>
      </c>
      <c r="H78" t="s">
        <v>366</v>
      </c>
      <c r="I78" t="s">
        <v>420</v>
      </c>
      <c r="J78" t="s">
        <v>421</v>
      </c>
      <c r="K78" t="s">
        <v>528</v>
      </c>
    </row>
    <row r="79" spans="1:11">
      <c r="A79" t="s">
        <v>124</v>
      </c>
      <c r="B79" t="s">
        <v>114</v>
      </c>
      <c r="C79" t="s">
        <v>4</v>
      </c>
      <c r="D79" t="s">
        <v>539</v>
      </c>
      <c r="E79">
        <v>2008</v>
      </c>
      <c r="F79" t="s">
        <v>381</v>
      </c>
      <c r="G79" t="s">
        <v>358</v>
      </c>
      <c r="H79" t="s">
        <v>366</v>
      </c>
      <c r="I79" t="s">
        <v>493</v>
      </c>
      <c r="J79" t="s">
        <v>540</v>
      </c>
      <c r="K79" t="s">
        <v>528</v>
      </c>
    </row>
    <row r="80" spans="1:11">
      <c r="A80" t="s">
        <v>125</v>
      </c>
      <c r="B80" t="s">
        <v>114</v>
      </c>
      <c r="C80" t="s">
        <v>4</v>
      </c>
      <c r="D80" t="s">
        <v>541</v>
      </c>
      <c r="E80">
        <v>2010</v>
      </c>
      <c r="F80" t="s">
        <v>381</v>
      </c>
      <c r="G80" t="s">
        <v>358</v>
      </c>
      <c r="H80" t="s">
        <v>366</v>
      </c>
      <c r="I80" t="s">
        <v>449</v>
      </c>
      <c r="J80" t="s">
        <v>542</v>
      </c>
      <c r="K80" t="s">
        <v>528</v>
      </c>
    </row>
    <row r="81" spans="1:11">
      <c r="A81" t="s">
        <v>126</v>
      </c>
      <c r="B81" t="s">
        <v>114</v>
      </c>
      <c r="C81" t="s">
        <v>4</v>
      </c>
      <c r="D81" t="s">
        <v>543</v>
      </c>
      <c r="E81">
        <v>2000</v>
      </c>
      <c r="F81" t="s">
        <v>381</v>
      </c>
      <c r="G81" t="s">
        <v>359</v>
      </c>
      <c r="H81" t="s">
        <v>365</v>
      </c>
      <c r="I81" t="s">
        <v>395</v>
      </c>
      <c r="J81" t="s">
        <v>396</v>
      </c>
      <c r="K81" t="s">
        <v>528</v>
      </c>
    </row>
    <row r="82" spans="1:11">
      <c r="A82" t="s">
        <v>127</v>
      </c>
      <c r="B82" t="s">
        <v>114</v>
      </c>
      <c r="C82" t="s">
        <v>4</v>
      </c>
      <c r="D82" t="s">
        <v>544</v>
      </c>
      <c r="E82">
        <v>2008</v>
      </c>
      <c r="F82" t="s">
        <v>381</v>
      </c>
      <c r="G82" t="s">
        <v>358</v>
      </c>
      <c r="H82" t="s">
        <v>366</v>
      </c>
      <c r="I82" t="s">
        <v>395</v>
      </c>
      <c r="J82" t="s">
        <v>396</v>
      </c>
      <c r="K82" t="s">
        <v>528</v>
      </c>
    </row>
    <row r="83" spans="1:11">
      <c r="A83" t="s">
        <v>128</v>
      </c>
      <c r="B83" t="s">
        <v>129</v>
      </c>
      <c r="C83" t="s">
        <v>53</v>
      </c>
      <c r="D83" t="s">
        <v>545</v>
      </c>
      <c r="E83">
        <v>2018</v>
      </c>
      <c r="G83" t="s">
        <v>358</v>
      </c>
      <c r="H83" t="s">
        <v>365</v>
      </c>
      <c r="I83" t="s">
        <v>546</v>
      </c>
      <c r="J83" t="s">
        <v>547</v>
      </c>
      <c r="K83" t="s">
        <v>528</v>
      </c>
    </row>
    <row r="84" spans="1:11">
      <c r="A84" t="s">
        <v>130</v>
      </c>
      <c r="B84" t="s">
        <v>114</v>
      </c>
      <c r="C84" t="s">
        <v>4</v>
      </c>
      <c r="D84" t="s">
        <v>548</v>
      </c>
      <c r="E84">
        <v>2006</v>
      </c>
      <c r="F84" t="s">
        <v>381</v>
      </c>
      <c r="G84" t="s">
        <v>358</v>
      </c>
      <c r="H84" t="s">
        <v>366</v>
      </c>
      <c r="I84" t="s">
        <v>377</v>
      </c>
      <c r="J84" t="s">
        <v>400</v>
      </c>
      <c r="K84" t="s">
        <v>528</v>
      </c>
    </row>
    <row r="85" spans="1:11">
      <c r="A85" t="s">
        <v>131</v>
      </c>
      <c r="B85" t="s">
        <v>114</v>
      </c>
      <c r="C85" t="s">
        <v>4</v>
      </c>
      <c r="D85" t="s">
        <v>549</v>
      </c>
      <c r="E85">
        <v>2010</v>
      </c>
      <c r="F85" t="s">
        <v>381</v>
      </c>
      <c r="G85" t="s">
        <v>358</v>
      </c>
      <c r="H85" t="s">
        <v>366</v>
      </c>
      <c r="I85" t="s">
        <v>377</v>
      </c>
      <c r="J85" t="s">
        <v>400</v>
      </c>
      <c r="K85" t="s">
        <v>528</v>
      </c>
    </row>
    <row r="86" spans="1:11">
      <c r="A86" t="s">
        <v>132</v>
      </c>
      <c r="B86" t="s">
        <v>114</v>
      </c>
      <c r="C86" t="s">
        <v>4</v>
      </c>
      <c r="D86" t="s">
        <v>550</v>
      </c>
      <c r="E86">
        <v>2011</v>
      </c>
      <c r="F86" t="s">
        <v>381</v>
      </c>
      <c r="G86" t="s">
        <v>358</v>
      </c>
      <c r="H86" t="s">
        <v>366</v>
      </c>
      <c r="I86" t="s">
        <v>377</v>
      </c>
      <c r="J86" t="s">
        <v>400</v>
      </c>
      <c r="K86" t="s">
        <v>528</v>
      </c>
    </row>
    <row r="87" spans="1:11">
      <c r="A87" t="s">
        <v>133</v>
      </c>
      <c r="B87" t="s">
        <v>122</v>
      </c>
      <c r="C87" t="s">
        <v>4</v>
      </c>
      <c r="D87" t="s">
        <v>551</v>
      </c>
      <c r="E87">
        <v>2012</v>
      </c>
      <c r="F87" t="s">
        <v>381</v>
      </c>
      <c r="G87" t="s">
        <v>358</v>
      </c>
      <c r="H87" t="s">
        <v>366</v>
      </c>
      <c r="I87" t="s">
        <v>377</v>
      </c>
      <c r="J87" t="s">
        <v>400</v>
      </c>
      <c r="K87" t="s">
        <v>528</v>
      </c>
    </row>
    <row r="88" spans="1:11">
      <c r="A88" t="s">
        <v>134</v>
      </c>
      <c r="B88" t="s">
        <v>114</v>
      </c>
      <c r="C88" t="s">
        <v>4</v>
      </c>
      <c r="D88" t="s">
        <v>552</v>
      </c>
      <c r="E88">
        <v>2011</v>
      </c>
      <c r="F88" t="s">
        <v>381</v>
      </c>
      <c r="G88" t="s">
        <v>358</v>
      </c>
      <c r="H88" t="s">
        <v>366</v>
      </c>
      <c r="I88" t="s">
        <v>377</v>
      </c>
      <c r="J88" t="s">
        <v>553</v>
      </c>
      <c r="K88" t="s">
        <v>528</v>
      </c>
    </row>
    <row r="89" spans="1:11">
      <c r="A89" t="s">
        <v>135</v>
      </c>
      <c r="B89" t="s">
        <v>114</v>
      </c>
      <c r="C89" t="s">
        <v>4</v>
      </c>
      <c r="D89" t="s">
        <v>554</v>
      </c>
      <c r="E89">
        <v>2008</v>
      </c>
      <c r="F89" t="s">
        <v>381</v>
      </c>
      <c r="G89" t="s">
        <v>358</v>
      </c>
      <c r="H89" t="s">
        <v>366</v>
      </c>
      <c r="I89" t="s">
        <v>377</v>
      </c>
      <c r="J89" t="s">
        <v>378</v>
      </c>
      <c r="K89" t="s">
        <v>528</v>
      </c>
    </row>
    <row r="90" spans="1:11">
      <c r="A90" t="s">
        <v>136</v>
      </c>
      <c r="B90" t="s">
        <v>114</v>
      </c>
      <c r="C90" t="s">
        <v>4</v>
      </c>
      <c r="D90" t="s">
        <v>555</v>
      </c>
      <c r="E90">
        <v>2005</v>
      </c>
      <c r="F90" t="s">
        <v>556</v>
      </c>
      <c r="G90" t="s">
        <v>358</v>
      </c>
      <c r="H90" t="s">
        <v>365</v>
      </c>
      <c r="I90" t="s">
        <v>377</v>
      </c>
      <c r="J90" t="s">
        <v>378</v>
      </c>
      <c r="K90" t="s">
        <v>528</v>
      </c>
    </row>
    <row r="91" spans="1:11">
      <c r="A91" t="s">
        <v>137</v>
      </c>
      <c r="B91" t="s">
        <v>114</v>
      </c>
      <c r="C91" t="s">
        <v>4</v>
      </c>
      <c r="D91" t="s">
        <v>557</v>
      </c>
      <c r="E91">
        <v>2008</v>
      </c>
      <c r="F91" t="s">
        <v>381</v>
      </c>
      <c r="G91" t="s">
        <v>358</v>
      </c>
      <c r="H91" t="s">
        <v>365</v>
      </c>
      <c r="I91" t="s">
        <v>558</v>
      </c>
      <c r="J91" t="s">
        <v>559</v>
      </c>
      <c r="K91" t="s">
        <v>528</v>
      </c>
    </row>
    <row r="92" spans="1:11">
      <c r="A92" t="s">
        <v>138</v>
      </c>
      <c r="B92" t="s">
        <v>114</v>
      </c>
      <c r="C92" t="s">
        <v>4</v>
      </c>
      <c r="D92" t="s">
        <v>560</v>
      </c>
      <c r="E92">
        <v>2006</v>
      </c>
      <c r="F92" t="s">
        <v>381</v>
      </c>
      <c r="G92" t="s">
        <v>358</v>
      </c>
      <c r="H92" t="s">
        <v>366</v>
      </c>
      <c r="I92" t="s">
        <v>405</v>
      </c>
      <c r="J92" t="s">
        <v>506</v>
      </c>
      <c r="K92" t="s">
        <v>528</v>
      </c>
    </row>
    <row r="93" spans="1:11">
      <c r="A93" t="s">
        <v>139</v>
      </c>
      <c r="B93" t="s">
        <v>122</v>
      </c>
      <c r="C93" t="s">
        <v>4</v>
      </c>
      <c r="D93" t="s">
        <v>561</v>
      </c>
      <c r="E93">
        <v>2012</v>
      </c>
      <c r="F93" t="s">
        <v>381</v>
      </c>
      <c r="G93" t="s">
        <v>358</v>
      </c>
      <c r="H93" t="s">
        <v>365</v>
      </c>
      <c r="I93" t="s">
        <v>384</v>
      </c>
      <c r="J93" t="s">
        <v>385</v>
      </c>
      <c r="K93" t="s">
        <v>528</v>
      </c>
    </row>
    <row r="94" spans="1:11">
      <c r="A94" t="s">
        <v>140</v>
      </c>
      <c r="B94" t="s">
        <v>122</v>
      </c>
      <c r="C94" t="s">
        <v>4</v>
      </c>
      <c r="D94" t="s">
        <v>562</v>
      </c>
      <c r="E94">
        <v>2012</v>
      </c>
      <c r="F94" t="s">
        <v>381</v>
      </c>
      <c r="G94" t="s">
        <v>358</v>
      </c>
      <c r="H94" t="s">
        <v>366</v>
      </c>
      <c r="I94" t="s">
        <v>384</v>
      </c>
      <c r="J94" t="s">
        <v>385</v>
      </c>
      <c r="K94" t="s">
        <v>528</v>
      </c>
    </row>
    <row r="95" spans="1:11">
      <c r="A95" t="s">
        <v>141</v>
      </c>
      <c r="B95" t="s">
        <v>122</v>
      </c>
      <c r="C95" t="s">
        <v>4</v>
      </c>
      <c r="D95" t="s">
        <v>563</v>
      </c>
      <c r="E95">
        <v>2012</v>
      </c>
      <c r="F95" t="s">
        <v>381</v>
      </c>
      <c r="G95" t="s">
        <v>358</v>
      </c>
      <c r="H95" t="s">
        <v>366</v>
      </c>
      <c r="I95" t="s">
        <v>384</v>
      </c>
      <c r="J95" t="s">
        <v>385</v>
      </c>
      <c r="K95" t="s">
        <v>528</v>
      </c>
    </row>
    <row r="96" spans="1:11">
      <c r="A96" t="s">
        <v>142</v>
      </c>
      <c r="B96" t="s">
        <v>114</v>
      </c>
      <c r="C96" t="s">
        <v>4</v>
      </c>
      <c r="D96" t="s">
        <v>564</v>
      </c>
      <c r="E96">
        <v>2008</v>
      </c>
      <c r="F96" t="s">
        <v>381</v>
      </c>
      <c r="G96" t="s">
        <v>358</v>
      </c>
      <c r="H96" t="s">
        <v>366</v>
      </c>
      <c r="I96" t="s">
        <v>384</v>
      </c>
      <c r="J96" t="s">
        <v>435</v>
      </c>
      <c r="K96" t="s">
        <v>528</v>
      </c>
    </row>
    <row r="97" spans="1:11">
      <c r="A97" t="s">
        <v>143</v>
      </c>
      <c r="B97" t="s">
        <v>114</v>
      </c>
      <c r="C97" t="s">
        <v>4</v>
      </c>
      <c r="D97" t="s">
        <v>565</v>
      </c>
      <c r="E97">
        <v>2010</v>
      </c>
      <c r="F97" t="s">
        <v>381</v>
      </c>
      <c r="G97" t="s">
        <v>358</v>
      </c>
      <c r="H97" t="s">
        <v>366</v>
      </c>
      <c r="I97" t="s">
        <v>384</v>
      </c>
      <c r="J97" t="s">
        <v>472</v>
      </c>
      <c r="K97" t="s">
        <v>528</v>
      </c>
    </row>
    <row r="98" spans="1:11">
      <c r="A98" t="s">
        <v>144</v>
      </c>
      <c r="B98" t="s">
        <v>114</v>
      </c>
      <c r="C98" t="s">
        <v>4</v>
      </c>
      <c r="D98" t="s">
        <v>566</v>
      </c>
      <c r="E98">
        <v>2008</v>
      </c>
      <c r="F98" t="s">
        <v>381</v>
      </c>
      <c r="G98" t="s">
        <v>358</v>
      </c>
      <c r="H98" t="s">
        <v>367</v>
      </c>
      <c r="I98" t="s">
        <v>384</v>
      </c>
      <c r="J98" t="s">
        <v>441</v>
      </c>
      <c r="K98" t="s">
        <v>528</v>
      </c>
    </row>
    <row r="99" spans="1:11">
      <c r="A99" t="s">
        <v>145</v>
      </c>
      <c r="B99" t="s">
        <v>114</v>
      </c>
      <c r="C99" t="s">
        <v>4</v>
      </c>
      <c r="D99" t="s">
        <v>567</v>
      </c>
      <c r="E99">
        <v>2011</v>
      </c>
      <c r="F99" t="s">
        <v>381</v>
      </c>
      <c r="G99" t="s">
        <v>358</v>
      </c>
      <c r="H99" t="s">
        <v>366</v>
      </c>
      <c r="I99" t="s">
        <v>384</v>
      </c>
      <c r="J99" t="s">
        <v>441</v>
      </c>
      <c r="K99" t="s">
        <v>528</v>
      </c>
    </row>
    <row r="100" spans="1:11">
      <c r="A100" t="s">
        <v>146</v>
      </c>
      <c r="B100" t="s">
        <v>114</v>
      </c>
      <c r="C100" t="s">
        <v>4</v>
      </c>
      <c r="D100" t="s">
        <v>568</v>
      </c>
      <c r="E100">
        <v>2010</v>
      </c>
      <c r="F100" t="s">
        <v>381</v>
      </c>
      <c r="G100" t="s">
        <v>358</v>
      </c>
      <c r="H100" t="s">
        <v>366</v>
      </c>
      <c r="I100" t="s">
        <v>384</v>
      </c>
      <c r="J100" t="s">
        <v>569</v>
      </c>
      <c r="K100" t="s">
        <v>528</v>
      </c>
    </row>
    <row r="101" spans="1:11">
      <c r="A101" t="s">
        <v>148</v>
      </c>
      <c r="B101" t="s">
        <v>149</v>
      </c>
      <c r="C101" t="s">
        <v>147</v>
      </c>
      <c r="D101" t="s">
        <v>570</v>
      </c>
      <c r="E101">
        <v>2006</v>
      </c>
      <c r="F101" t="s">
        <v>571</v>
      </c>
      <c r="G101" t="s">
        <v>358</v>
      </c>
      <c r="H101" t="s">
        <v>364</v>
      </c>
      <c r="I101" t="s">
        <v>515</v>
      </c>
      <c r="J101" t="s">
        <v>572</v>
      </c>
      <c r="K101" t="s">
        <v>573</v>
      </c>
    </row>
    <row r="102" spans="1:11">
      <c r="A102" t="s">
        <v>150</v>
      </c>
      <c r="B102" t="s">
        <v>151</v>
      </c>
      <c r="C102" t="s">
        <v>105</v>
      </c>
      <c r="D102" t="s">
        <v>574</v>
      </c>
      <c r="E102">
        <v>2007</v>
      </c>
      <c r="F102" t="s">
        <v>575</v>
      </c>
      <c r="G102" t="s">
        <v>358</v>
      </c>
      <c r="H102" t="s">
        <v>364</v>
      </c>
      <c r="I102" t="s">
        <v>515</v>
      </c>
      <c r="J102" t="s">
        <v>576</v>
      </c>
      <c r="K102" t="s">
        <v>573</v>
      </c>
    </row>
    <row r="103" spans="1:11">
      <c r="A103" t="s">
        <v>152</v>
      </c>
      <c r="B103" t="s">
        <v>153</v>
      </c>
      <c r="C103" t="s">
        <v>41</v>
      </c>
      <c r="D103" t="s">
        <v>577</v>
      </c>
      <c r="E103">
        <v>2016</v>
      </c>
      <c r="F103" t="s">
        <v>381</v>
      </c>
      <c r="G103" t="s">
        <v>358</v>
      </c>
      <c r="H103" t="s">
        <v>364</v>
      </c>
      <c r="I103" t="s">
        <v>457</v>
      </c>
      <c r="J103" t="s">
        <v>458</v>
      </c>
      <c r="K103" t="s">
        <v>573</v>
      </c>
    </row>
    <row r="104" spans="1:11">
      <c r="A104" t="s">
        <v>154</v>
      </c>
      <c r="B104" t="s">
        <v>155</v>
      </c>
      <c r="C104" t="s">
        <v>41</v>
      </c>
      <c r="D104" t="s">
        <v>578</v>
      </c>
      <c r="E104">
        <v>2002</v>
      </c>
      <c r="F104" t="s">
        <v>579</v>
      </c>
      <c r="G104" t="s">
        <v>359</v>
      </c>
      <c r="H104" t="s">
        <v>364</v>
      </c>
      <c r="I104" t="s">
        <v>457</v>
      </c>
      <c r="J104" t="s">
        <v>580</v>
      </c>
      <c r="K104" t="s">
        <v>573</v>
      </c>
    </row>
    <row r="105" spans="1:11">
      <c r="A105" t="s">
        <v>156</v>
      </c>
      <c r="B105" t="s">
        <v>157</v>
      </c>
      <c r="C105" t="s">
        <v>147</v>
      </c>
      <c r="D105" t="s">
        <v>581</v>
      </c>
      <c r="E105">
        <v>2009</v>
      </c>
      <c r="F105" t="s">
        <v>582</v>
      </c>
      <c r="G105" t="s">
        <v>359</v>
      </c>
      <c r="H105" t="s">
        <v>364</v>
      </c>
      <c r="I105" t="s">
        <v>395</v>
      </c>
      <c r="J105" t="s">
        <v>396</v>
      </c>
      <c r="K105" t="s">
        <v>573</v>
      </c>
    </row>
    <row r="106" spans="1:11">
      <c r="A106" t="s">
        <v>159</v>
      </c>
      <c r="B106" t="s">
        <v>160</v>
      </c>
      <c r="C106" t="s">
        <v>158</v>
      </c>
      <c r="D106" t="s">
        <v>583</v>
      </c>
      <c r="E106">
        <v>2008</v>
      </c>
      <c r="F106" t="s">
        <v>584</v>
      </c>
      <c r="G106" t="s">
        <v>358</v>
      </c>
      <c r="H106" t="s">
        <v>365</v>
      </c>
      <c r="I106" t="s">
        <v>515</v>
      </c>
      <c r="J106" t="s">
        <v>516</v>
      </c>
      <c r="K106" t="s">
        <v>585</v>
      </c>
    </row>
    <row r="107" spans="1:11">
      <c r="A107" t="s">
        <v>162</v>
      </c>
      <c r="B107" t="s">
        <v>163</v>
      </c>
      <c r="C107" t="s">
        <v>161</v>
      </c>
      <c r="D107" t="s">
        <v>586</v>
      </c>
      <c r="E107">
        <v>2012</v>
      </c>
      <c r="F107" t="s">
        <v>587</v>
      </c>
      <c r="G107" t="s">
        <v>358</v>
      </c>
      <c r="H107" t="s">
        <v>364</v>
      </c>
      <c r="I107" t="s">
        <v>515</v>
      </c>
      <c r="J107" t="s">
        <v>516</v>
      </c>
      <c r="K107" t="s">
        <v>588</v>
      </c>
    </row>
    <row r="108" spans="1:11">
      <c r="A108" t="s">
        <v>164</v>
      </c>
      <c r="B108" t="s">
        <v>165</v>
      </c>
      <c r="C108" t="s">
        <v>53</v>
      </c>
      <c r="D108" t="s">
        <v>589</v>
      </c>
      <c r="E108">
        <v>2007</v>
      </c>
      <c r="F108" t="s">
        <v>381</v>
      </c>
      <c r="G108" t="s">
        <v>358</v>
      </c>
      <c r="H108" t="s">
        <v>366</v>
      </c>
      <c r="I108" t="s">
        <v>590</v>
      </c>
      <c r="J108" t="s">
        <v>591</v>
      </c>
      <c r="K108" t="s">
        <v>592</v>
      </c>
    </row>
    <row r="109" spans="1:11">
      <c r="A109" t="s">
        <v>166</v>
      </c>
      <c r="B109" t="s">
        <v>167</v>
      </c>
      <c r="C109" t="s">
        <v>4</v>
      </c>
      <c r="D109" t="s">
        <v>593</v>
      </c>
      <c r="E109">
        <v>2012</v>
      </c>
      <c r="F109" t="s">
        <v>381</v>
      </c>
      <c r="G109" t="s">
        <v>358</v>
      </c>
      <c r="H109" t="s">
        <v>366</v>
      </c>
      <c r="I109" t="s">
        <v>526</v>
      </c>
      <c r="J109" t="s">
        <v>594</v>
      </c>
      <c r="K109" t="s">
        <v>592</v>
      </c>
    </row>
    <row r="110" spans="1:11">
      <c r="A110" t="s">
        <v>168</v>
      </c>
      <c r="B110" t="s">
        <v>169</v>
      </c>
      <c r="C110" t="s">
        <v>53</v>
      </c>
      <c r="D110" t="s">
        <v>595</v>
      </c>
      <c r="E110">
        <v>2008</v>
      </c>
      <c r="F110" t="s">
        <v>381</v>
      </c>
      <c r="G110" t="s">
        <v>358</v>
      </c>
      <c r="H110" t="s">
        <v>366</v>
      </c>
      <c r="I110" t="s">
        <v>596</v>
      </c>
      <c r="J110" t="s">
        <v>597</v>
      </c>
      <c r="K110" t="s">
        <v>592</v>
      </c>
    </row>
    <row r="111" spans="1:11">
      <c r="A111" t="s">
        <v>170</v>
      </c>
      <c r="B111" t="s">
        <v>167</v>
      </c>
      <c r="C111" t="s">
        <v>4</v>
      </c>
      <c r="D111" t="s">
        <v>598</v>
      </c>
      <c r="E111">
        <v>2012</v>
      </c>
      <c r="F111" t="s">
        <v>381</v>
      </c>
      <c r="G111" t="s">
        <v>358</v>
      </c>
      <c r="H111" t="s">
        <v>366</v>
      </c>
      <c r="I111" t="s">
        <v>530</v>
      </c>
      <c r="J111" t="s">
        <v>599</v>
      </c>
      <c r="K111" t="s">
        <v>592</v>
      </c>
    </row>
    <row r="112" spans="1:11">
      <c r="A112" t="s">
        <v>171</v>
      </c>
      <c r="B112" t="s">
        <v>167</v>
      </c>
      <c r="C112" t="s">
        <v>4</v>
      </c>
      <c r="D112" t="s">
        <v>600</v>
      </c>
      <c r="E112">
        <v>2012</v>
      </c>
      <c r="F112" t="s">
        <v>381</v>
      </c>
      <c r="G112" t="s">
        <v>358</v>
      </c>
      <c r="H112" t="s">
        <v>366</v>
      </c>
      <c r="I112" t="s">
        <v>510</v>
      </c>
      <c r="J112" t="s">
        <v>511</v>
      </c>
      <c r="K112" t="s">
        <v>592</v>
      </c>
    </row>
    <row r="113" spans="1:11">
      <c r="A113" t="s">
        <v>172</v>
      </c>
      <c r="B113" t="s">
        <v>167</v>
      </c>
      <c r="C113" t="s">
        <v>4</v>
      </c>
      <c r="D113" t="s">
        <v>601</v>
      </c>
      <c r="E113">
        <v>2013</v>
      </c>
      <c r="F113" t="s">
        <v>381</v>
      </c>
      <c r="G113" t="s">
        <v>358</v>
      </c>
      <c r="H113" t="s">
        <v>366</v>
      </c>
      <c r="I113" t="s">
        <v>510</v>
      </c>
      <c r="J113" t="s">
        <v>511</v>
      </c>
      <c r="K113" t="s">
        <v>592</v>
      </c>
    </row>
    <row r="114" spans="1:11">
      <c r="A114" t="s">
        <v>173</v>
      </c>
      <c r="B114" t="s">
        <v>174</v>
      </c>
      <c r="C114" t="s">
        <v>4</v>
      </c>
      <c r="D114" t="s">
        <v>602</v>
      </c>
      <c r="E114">
        <v>2013</v>
      </c>
      <c r="F114" t="s">
        <v>381</v>
      </c>
      <c r="G114" t="s">
        <v>358</v>
      </c>
      <c r="H114" t="s">
        <v>366</v>
      </c>
      <c r="I114" t="s">
        <v>510</v>
      </c>
      <c r="J114" t="s">
        <v>511</v>
      </c>
      <c r="K114" t="s">
        <v>592</v>
      </c>
    </row>
    <row r="115" spans="1:11">
      <c r="A115" t="s">
        <v>175</v>
      </c>
      <c r="B115" t="s">
        <v>174</v>
      </c>
      <c r="C115" t="s">
        <v>4</v>
      </c>
      <c r="D115" t="s">
        <v>603</v>
      </c>
      <c r="E115">
        <v>2013</v>
      </c>
      <c r="F115" t="s">
        <v>381</v>
      </c>
      <c r="G115" t="s">
        <v>358</v>
      </c>
      <c r="H115" t="s">
        <v>366</v>
      </c>
      <c r="I115" t="s">
        <v>510</v>
      </c>
      <c r="J115" t="s">
        <v>511</v>
      </c>
      <c r="K115" t="s">
        <v>592</v>
      </c>
    </row>
    <row r="116" spans="1:11">
      <c r="A116" t="s">
        <v>176</v>
      </c>
      <c r="B116" t="s">
        <v>167</v>
      </c>
      <c r="C116" t="s">
        <v>4</v>
      </c>
      <c r="D116" t="s">
        <v>604</v>
      </c>
      <c r="E116">
        <v>2011</v>
      </c>
      <c r="F116" t="s">
        <v>381</v>
      </c>
      <c r="G116" t="s">
        <v>358</v>
      </c>
      <c r="H116" t="s">
        <v>366</v>
      </c>
      <c r="I116" t="s">
        <v>414</v>
      </c>
      <c r="J116" t="s">
        <v>482</v>
      </c>
      <c r="K116" t="s">
        <v>592</v>
      </c>
    </row>
    <row r="117" spans="1:11">
      <c r="A117" t="s">
        <v>177</v>
      </c>
      <c r="B117" t="s">
        <v>178</v>
      </c>
      <c r="C117" t="s">
        <v>9</v>
      </c>
      <c r="D117" t="s">
        <v>605</v>
      </c>
      <c r="E117">
        <v>2009</v>
      </c>
      <c r="F117" t="s">
        <v>381</v>
      </c>
      <c r="G117" t="s">
        <v>358</v>
      </c>
      <c r="H117" t="s">
        <v>365</v>
      </c>
      <c r="I117" t="s">
        <v>606</v>
      </c>
      <c r="J117" t="s">
        <v>607</v>
      </c>
      <c r="K117" t="s">
        <v>592</v>
      </c>
    </row>
    <row r="118" spans="1:11">
      <c r="A118" t="s">
        <v>179</v>
      </c>
      <c r="B118" t="s">
        <v>167</v>
      </c>
      <c r="C118" t="s">
        <v>4</v>
      </c>
      <c r="D118" t="s">
        <v>608</v>
      </c>
      <c r="E118">
        <v>2012</v>
      </c>
      <c r="F118" t="s">
        <v>381</v>
      </c>
      <c r="G118" t="s">
        <v>358</v>
      </c>
      <c r="H118" t="s">
        <v>366</v>
      </c>
      <c r="I118" t="s">
        <v>387</v>
      </c>
      <c r="J118" t="s">
        <v>391</v>
      </c>
      <c r="K118" t="s">
        <v>592</v>
      </c>
    </row>
    <row r="119" spans="1:11">
      <c r="A119" t="s">
        <v>180</v>
      </c>
      <c r="B119" t="s">
        <v>181</v>
      </c>
      <c r="C119" t="s">
        <v>53</v>
      </c>
      <c r="D119" t="s">
        <v>609</v>
      </c>
      <c r="E119">
        <v>2010</v>
      </c>
      <c r="F119" t="s">
        <v>610</v>
      </c>
      <c r="G119" t="s">
        <v>358</v>
      </c>
      <c r="H119" t="s">
        <v>365</v>
      </c>
      <c r="I119" t="s">
        <v>387</v>
      </c>
      <c r="J119" t="s">
        <v>391</v>
      </c>
      <c r="K119" t="s">
        <v>592</v>
      </c>
    </row>
    <row r="120" spans="1:11">
      <c r="A120" t="s">
        <v>182</v>
      </c>
      <c r="B120" t="s">
        <v>183</v>
      </c>
      <c r="C120" t="s">
        <v>41</v>
      </c>
      <c r="D120" t="s">
        <v>611</v>
      </c>
      <c r="E120">
        <v>2008</v>
      </c>
      <c r="F120" t="s">
        <v>612</v>
      </c>
      <c r="G120" t="s">
        <v>358</v>
      </c>
      <c r="H120" t="s">
        <v>366</v>
      </c>
      <c r="I120" t="s">
        <v>387</v>
      </c>
      <c r="J120" t="s">
        <v>613</v>
      </c>
      <c r="K120" t="s">
        <v>592</v>
      </c>
    </row>
    <row r="121" spans="1:11">
      <c r="A121" t="s">
        <v>184</v>
      </c>
      <c r="B121" t="s">
        <v>178</v>
      </c>
      <c r="C121" t="s">
        <v>9</v>
      </c>
      <c r="D121" t="s">
        <v>614</v>
      </c>
      <c r="E121">
        <v>2009</v>
      </c>
      <c r="F121" t="s">
        <v>381</v>
      </c>
      <c r="G121" t="s">
        <v>358</v>
      </c>
      <c r="H121" t="s">
        <v>365</v>
      </c>
      <c r="I121" t="s">
        <v>615</v>
      </c>
      <c r="J121" t="s">
        <v>616</v>
      </c>
      <c r="K121" t="s">
        <v>592</v>
      </c>
    </row>
    <row r="122" spans="1:11">
      <c r="A122" t="s">
        <v>185</v>
      </c>
      <c r="B122" t="s">
        <v>169</v>
      </c>
      <c r="C122" t="s">
        <v>53</v>
      </c>
      <c r="D122" t="s">
        <v>617</v>
      </c>
      <c r="E122">
        <v>2008</v>
      </c>
      <c r="F122" t="s">
        <v>381</v>
      </c>
      <c r="G122" t="s">
        <v>358</v>
      </c>
      <c r="H122" t="s">
        <v>366</v>
      </c>
      <c r="I122" t="s">
        <v>618</v>
      </c>
      <c r="J122" t="s">
        <v>619</v>
      </c>
      <c r="K122" t="s">
        <v>592</v>
      </c>
    </row>
    <row r="123" spans="1:11">
      <c r="A123" t="s">
        <v>186</v>
      </c>
      <c r="B123" t="s">
        <v>167</v>
      </c>
      <c r="C123" t="s">
        <v>4</v>
      </c>
      <c r="D123" t="s">
        <v>620</v>
      </c>
      <c r="E123">
        <v>2014</v>
      </c>
      <c r="F123" t="s">
        <v>381</v>
      </c>
      <c r="G123" t="s">
        <v>358</v>
      </c>
      <c r="H123" t="s">
        <v>366</v>
      </c>
      <c r="I123" t="s">
        <v>486</v>
      </c>
      <c r="J123" t="s">
        <v>621</v>
      </c>
      <c r="K123" t="s">
        <v>592</v>
      </c>
    </row>
    <row r="124" spans="1:11">
      <c r="A124" t="s">
        <v>187</v>
      </c>
      <c r="B124" t="s">
        <v>188</v>
      </c>
      <c r="C124" t="s">
        <v>53</v>
      </c>
      <c r="D124" t="s">
        <v>622</v>
      </c>
      <c r="E124">
        <v>2009</v>
      </c>
      <c r="F124" t="s">
        <v>623</v>
      </c>
      <c r="G124" t="s">
        <v>358</v>
      </c>
      <c r="H124" t="s">
        <v>365</v>
      </c>
      <c r="I124" t="s">
        <v>515</v>
      </c>
      <c r="J124" t="s">
        <v>572</v>
      </c>
      <c r="K124" t="s">
        <v>592</v>
      </c>
    </row>
    <row r="125" spans="1:11">
      <c r="A125" t="s">
        <v>189</v>
      </c>
      <c r="B125" t="s">
        <v>190</v>
      </c>
      <c r="C125" t="s">
        <v>53</v>
      </c>
      <c r="D125" t="s">
        <v>624</v>
      </c>
      <c r="E125">
        <v>2010</v>
      </c>
      <c r="F125" t="s">
        <v>625</v>
      </c>
      <c r="G125" t="s">
        <v>358</v>
      </c>
      <c r="H125" t="s">
        <v>365</v>
      </c>
      <c r="I125" t="s">
        <v>515</v>
      </c>
      <c r="J125" t="s">
        <v>572</v>
      </c>
      <c r="K125" t="s">
        <v>592</v>
      </c>
    </row>
    <row r="126" spans="1:11">
      <c r="A126" t="s">
        <v>191</v>
      </c>
      <c r="B126" t="s">
        <v>192</v>
      </c>
      <c r="C126" t="s">
        <v>41</v>
      </c>
      <c r="D126" t="s">
        <v>626</v>
      </c>
      <c r="E126">
        <v>2019</v>
      </c>
      <c r="G126" t="s">
        <v>358</v>
      </c>
      <c r="H126" t="s">
        <v>365</v>
      </c>
      <c r="I126" t="s">
        <v>515</v>
      </c>
      <c r="J126" t="s">
        <v>572</v>
      </c>
      <c r="K126" t="s">
        <v>592</v>
      </c>
    </row>
    <row r="127" spans="1:11">
      <c r="A127" t="s">
        <v>193</v>
      </c>
      <c r="B127" t="s">
        <v>194</v>
      </c>
      <c r="C127" t="s">
        <v>53</v>
      </c>
      <c r="D127" t="s">
        <v>627</v>
      </c>
      <c r="E127">
        <v>2009</v>
      </c>
      <c r="F127" t="s">
        <v>628</v>
      </c>
      <c r="G127" t="s">
        <v>359</v>
      </c>
      <c r="H127" t="s">
        <v>366</v>
      </c>
      <c r="I127" t="s">
        <v>515</v>
      </c>
      <c r="J127" t="s">
        <v>572</v>
      </c>
      <c r="K127" t="s">
        <v>592</v>
      </c>
    </row>
    <row r="128" spans="1:11">
      <c r="A128" t="s">
        <v>195</v>
      </c>
      <c r="B128" t="s">
        <v>178</v>
      </c>
      <c r="C128" t="s">
        <v>9</v>
      </c>
      <c r="D128" t="s">
        <v>629</v>
      </c>
      <c r="E128">
        <v>2009</v>
      </c>
      <c r="F128" t="s">
        <v>381</v>
      </c>
      <c r="G128" t="s">
        <v>358</v>
      </c>
      <c r="H128" t="s">
        <v>365</v>
      </c>
      <c r="I128" t="s">
        <v>515</v>
      </c>
      <c r="J128" t="s">
        <v>516</v>
      </c>
      <c r="K128" t="s">
        <v>592</v>
      </c>
    </row>
    <row r="129" spans="1:11">
      <c r="A129" t="s">
        <v>196</v>
      </c>
      <c r="B129" t="s">
        <v>174</v>
      </c>
      <c r="C129" t="s">
        <v>4</v>
      </c>
      <c r="D129" t="s">
        <v>630</v>
      </c>
      <c r="E129">
        <v>2012</v>
      </c>
      <c r="F129" t="s">
        <v>381</v>
      </c>
      <c r="G129" t="s">
        <v>358</v>
      </c>
      <c r="H129" t="s">
        <v>365</v>
      </c>
      <c r="I129" t="s">
        <v>515</v>
      </c>
      <c r="J129" t="s">
        <v>516</v>
      </c>
      <c r="K129" t="s">
        <v>592</v>
      </c>
    </row>
    <row r="130" spans="1:11">
      <c r="A130" t="s">
        <v>197</v>
      </c>
      <c r="B130" t="s">
        <v>167</v>
      </c>
      <c r="C130" t="s">
        <v>4</v>
      </c>
      <c r="D130" t="s">
        <v>631</v>
      </c>
      <c r="E130">
        <v>2013</v>
      </c>
      <c r="F130" t="s">
        <v>381</v>
      </c>
      <c r="G130" t="s">
        <v>358</v>
      </c>
      <c r="H130" t="s">
        <v>365</v>
      </c>
      <c r="I130" t="s">
        <v>515</v>
      </c>
      <c r="J130" t="s">
        <v>516</v>
      </c>
      <c r="K130" t="s">
        <v>592</v>
      </c>
    </row>
    <row r="131" spans="1:11">
      <c r="A131" t="s">
        <v>198</v>
      </c>
      <c r="B131" t="s">
        <v>167</v>
      </c>
      <c r="C131" t="s">
        <v>4</v>
      </c>
      <c r="D131" t="s">
        <v>632</v>
      </c>
      <c r="E131">
        <v>2014</v>
      </c>
      <c r="F131" t="s">
        <v>381</v>
      </c>
      <c r="G131" t="s">
        <v>358</v>
      </c>
      <c r="H131" t="s">
        <v>365</v>
      </c>
      <c r="I131" t="s">
        <v>515</v>
      </c>
      <c r="J131" t="s">
        <v>516</v>
      </c>
      <c r="K131" t="s">
        <v>592</v>
      </c>
    </row>
    <row r="132" spans="1:11">
      <c r="A132" t="s">
        <v>199</v>
      </c>
      <c r="B132" t="s">
        <v>200</v>
      </c>
      <c r="C132" t="s">
        <v>161</v>
      </c>
      <c r="D132" t="s">
        <v>633</v>
      </c>
      <c r="E132">
        <v>2018</v>
      </c>
      <c r="F132" t="s">
        <v>381</v>
      </c>
      <c r="G132" t="s">
        <v>358</v>
      </c>
      <c r="H132" t="s">
        <v>365</v>
      </c>
      <c r="I132" t="s">
        <v>515</v>
      </c>
      <c r="J132" t="s">
        <v>516</v>
      </c>
      <c r="K132" t="s">
        <v>592</v>
      </c>
    </row>
    <row r="133" spans="1:11">
      <c r="A133" t="s">
        <v>201</v>
      </c>
      <c r="B133" t="s">
        <v>200</v>
      </c>
      <c r="C133" t="s">
        <v>161</v>
      </c>
      <c r="D133" t="s">
        <v>634</v>
      </c>
      <c r="E133">
        <v>2018</v>
      </c>
      <c r="F133" t="s">
        <v>381</v>
      </c>
      <c r="G133" t="s">
        <v>358</v>
      </c>
      <c r="H133" t="s">
        <v>365</v>
      </c>
      <c r="I133" t="s">
        <v>515</v>
      </c>
      <c r="J133" t="s">
        <v>516</v>
      </c>
      <c r="K133" t="s">
        <v>592</v>
      </c>
    </row>
    <row r="134" spans="1:11">
      <c r="A134" t="s">
        <v>202</v>
      </c>
      <c r="B134" t="s">
        <v>203</v>
      </c>
      <c r="C134" t="s">
        <v>53</v>
      </c>
      <c r="D134" t="s">
        <v>635</v>
      </c>
      <c r="E134">
        <v>2018</v>
      </c>
      <c r="G134" t="s">
        <v>358</v>
      </c>
      <c r="H134" t="s">
        <v>365</v>
      </c>
      <c r="I134" t="s">
        <v>515</v>
      </c>
      <c r="J134" t="s">
        <v>516</v>
      </c>
      <c r="K134" t="s">
        <v>592</v>
      </c>
    </row>
    <row r="135" spans="1:11">
      <c r="A135" t="s">
        <v>204</v>
      </c>
      <c r="B135" t="s">
        <v>203</v>
      </c>
      <c r="C135" t="s">
        <v>53</v>
      </c>
      <c r="D135" t="s">
        <v>636</v>
      </c>
      <c r="E135">
        <v>2018</v>
      </c>
      <c r="G135" t="s">
        <v>358</v>
      </c>
      <c r="H135" t="s">
        <v>365</v>
      </c>
      <c r="I135" t="s">
        <v>515</v>
      </c>
      <c r="J135" t="s">
        <v>516</v>
      </c>
      <c r="K135" t="s">
        <v>592</v>
      </c>
    </row>
    <row r="136" spans="1:11">
      <c r="A136" t="s">
        <v>205</v>
      </c>
      <c r="B136" t="s">
        <v>203</v>
      </c>
      <c r="C136" t="s">
        <v>53</v>
      </c>
      <c r="D136" t="s">
        <v>637</v>
      </c>
      <c r="E136">
        <v>2018</v>
      </c>
      <c r="G136" t="s">
        <v>358</v>
      </c>
      <c r="H136" t="s">
        <v>365</v>
      </c>
      <c r="I136" t="s">
        <v>515</v>
      </c>
      <c r="J136" t="s">
        <v>516</v>
      </c>
      <c r="K136" t="s">
        <v>592</v>
      </c>
    </row>
    <row r="137" spans="1:11">
      <c r="A137" t="s">
        <v>206</v>
      </c>
      <c r="B137" t="s">
        <v>203</v>
      </c>
      <c r="C137" t="s">
        <v>53</v>
      </c>
      <c r="D137" t="s">
        <v>638</v>
      </c>
      <c r="E137">
        <v>2018</v>
      </c>
      <c r="G137" t="s">
        <v>358</v>
      </c>
      <c r="H137" t="s">
        <v>365</v>
      </c>
      <c r="I137" t="s">
        <v>515</v>
      </c>
      <c r="J137" t="s">
        <v>516</v>
      </c>
      <c r="K137" t="s">
        <v>592</v>
      </c>
    </row>
    <row r="138" spans="1:11">
      <c r="A138" t="s">
        <v>207</v>
      </c>
      <c r="B138" t="s">
        <v>208</v>
      </c>
      <c r="C138" t="s">
        <v>53</v>
      </c>
      <c r="D138" t="s">
        <v>639</v>
      </c>
      <c r="E138">
        <v>2009</v>
      </c>
      <c r="F138" t="s">
        <v>640</v>
      </c>
      <c r="G138" t="s">
        <v>358</v>
      </c>
      <c r="H138" t="s">
        <v>366</v>
      </c>
      <c r="I138" t="s">
        <v>515</v>
      </c>
      <c r="J138" t="s">
        <v>516</v>
      </c>
      <c r="K138" t="s">
        <v>592</v>
      </c>
    </row>
    <row r="139" spans="1:11">
      <c r="A139" t="s">
        <v>209</v>
      </c>
      <c r="B139" t="s">
        <v>210</v>
      </c>
      <c r="C139" t="s">
        <v>53</v>
      </c>
      <c r="D139" t="s">
        <v>641</v>
      </c>
      <c r="E139">
        <v>2012</v>
      </c>
      <c r="F139" t="s">
        <v>587</v>
      </c>
      <c r="G139" t="s">
        <v>358</v>
      </c>
      <c r="H139" t="s">
        <v>365</v>
      </c>
      <c r="I139" t="s">
        <v>515</v>
      </c>
      <c r="J139" t="s">
        <v>516</v>
      </c>
      <c r="K139" t="s">
        <v>592</v>
      </c>
    </row>
    <row r="140" spans="1:11">
      <c r="A140" t="s">
        <v>211</v>
      </c>
      <c r="B140" t="s">
        <v>167</v>
      </c>
      <c r="C140" t="s">
        <v>4</v>
      </c>
      <c r="D140" t="s">
        <v>642</v>
      </c>
      <c r="E140">
        <v>2012</v>
      </c>
      <c r="F140" t="s">
        <v>381</v>
      </c>
      <c r="G140" t="s">
        <v>358</v>
      </c>
      <c r="H140" t="s">
        <v>365</v>
      </c>
      <c r="I140" t="s">
        <v>521</v>
      </c>
      <c r="J140" t="s">
        <v>522</v>
      </c>
      <c r="K140" t="s">
        <v>592</v>
      </c>
    </row>
    <row r="141" spans="1:11">
      <c r="A141" t="s">
        <v>212</v>
      </c>
      <c r="B141" t="s">
        <v>167</v>
      </c>
      <c r="C141" t="s">
        <v>4</v>
      </c>
      <c r="D141" t="s">
        <v>643</v>
      </c>
      <c r="E141">
        <v>2013</v>
      </c>
      <c r="F141" t="s">
        <v>381</v>
      </c>
      <c r="G141" t="s">
        <v>358</v>
      </c>
      <c r="H141" t="s">
        <v>366</v>
      </c>
      <c r="I141" t="s">
        <v>521</v>
      </c>
      <c r="J141" t="s">
        <v>522</v>
      </c>
      <c r="K141" t="s">
        <v>592</v>
      </c>
    </row>
    <row r="142" spans="1:11">
      <c r="A142" t="s">
        <v>213</v>
      </c>
      <c r="B142" t="s">
        <v>114</v>
      </c>
      <c r="C142" t="s">
        <v>4</v>
      </c>
      <c r="D142" t="s">
        <v>644</v>
      </c>
      <c r="E142">
        <v>2005</v>
      </c>
      <c r="F142" t="s">
        <v>381</v>
      </c>
      <c r="G142" t="s">
        <v>358</v>
      </c>
      <c r="H142" t="s">
        <v>365</v>
      </c>
      <c r="I142" t="s">
        <v>457</v>
      </c>
      <c r="J142" t="s">
        <v>458</v>
      </c>
      <c r="K142" t="s">
        <v>592</v>
      </c>
    </row>
    <row r="143" spans="1:11">
      <c r="A143" t="s">
        <v>214</v>
      </c>
      <c r="B143" t="s">
        <v>165</v>
      </c>
      <c r="C143" t="s">
        <v>53</v>
      </c>
      <c r="D143" t="s">
        <v>645</v>
      </c>
      <c r="E143">
        <v>2007</v>
      </c>
      <c r="F143" t="s">
        <v>381</v>
      </c>
      <c r="G143" t="s">
        <v>358</v>
      </c>
      <c r="H143" t="s">
        <v>366</v>
      </c>
      <c r="I143" t="s">
        <v>457</v>
      </c>
      <c r="J143" t="s">
        <v>458</v>
      </c>
      <c r="K143" t="s">
        <v>592</v>
      </c>
    </row>
    <row r="144" spans="1:11">
      <c r="A144" t="s">
        <v>215</v>
      </c>
      <c r="B144" t="s">
        <v>167</v>
      </c>
      <c r="C144" t="s">
        <v>4</v>
      </c>
      <c r="D144" t="s">
        <v>646</v>
      </c>
      <c r="E144">
        <v>2012</v>
      </c>
      <c r="F144" t="s">
        <v>381</v>
      </c>
      <c r="G144" t="s">
        <v>358</v>
      </c>
      <c r="H144" t="s">
        <v>366</v>
      </c>
      <c r="I144" t="s">
        <v>457</v>
      </c>
      <c r="J144" t="s">
        <v>458</v>
      </c>
      <c r="K144" t="s">
        <v>592</v>
      </c>
    </row>
    <row r="145" spans="1:11">
      <c r="A145" t="s">
        <v>216</v>
      </c>
      <c r="B145" t="s">
        <v>167</v>
      </c>
      <c r="C145" t="s">
        <v>4</v>
      </c>
      <c r="D145" t="s">
        <v>647</v>
      </c>
      <c r="E145">
        <v>2012</v>
      </c>
      <c r="F145" t="s">
        <v>381</v>
      </c>
      <c r="G145" t="s">
        <v>358</v>
      </c>
      <c r="H145" t="s">
        <v>366</v>
      </c>
      <c r="I145" t="s">
        <v>420</v>
      </c>
      <c r="J145" t="s">
        <v>421</v>
      </c>
      <c r="K145" t="s">
        <v>592</v>
      </c>
    </row>
    <row r="146" spans="1:11">
      <c r="A146" t="s">
        <v>217</v>
      </c>
      <c r="B146" t="s">
        <v>218</v>
      </c>
      <c r="C146" t="s">
        <v>4</v>
      </c>
      <c r="D146" t="s">
        <v>648</v>
      </c>
      <c r="E146">
        <v>2007</v>
      </c>
      <c r="F146" t="s">
        <v>381</v>
      </c>
      <c r="G146" t="s">
        <v>358</v>
      </c>
      <c r="H146" t="s">
        <v>366</v>
      </c>
      <c r="I146" t="s">
        <v>420</v>
      </c>
      <c r="J146" t="s">
        <v>649</v>
      </c>
      <c r="K146" t="s">
        <v>592</v>
      </c>
    </row>
    <row r="147" spans="1:11">
      <c r="A147" t="s">
        <v>219</v>
      </c>
      <c r="B147" t="s">
        <v>165</v>
      </c>
      <c r="C147" t="s">
        <v>53</v>
      </c>
      <c r="D147" t="s">
        <v>650</v>
      </c>
      <c r="E147">
        <v>2007</v>
      </c>
      <c r="F147" t="s">
        <v>381</v>
      </c>
      <c r="G147" t="s">
        <v>358</v>
      </c>
      <c r="H147" t="s">
        <v>366</v>
      </c>
      <c r="I147" t="s">
        <v>493</v>
      </c>
      <c r="J147" t="s">
        <v>494</v>
      </c>
      <c r="K147" t="s">
        <v>592</v>
      </c>
    </row>
    <row r="148" spans="1:11">
      <c r="A148" t="s">
        <v>220</v>
      </c>
      <c r="B148" t="s">
        <v>174</v>
      </c>
      <c r="C148" t="s">
        <v>4</v>
      </c>
      <c r="D148" t="s">
        <v>651</v>
      </c>
      <c r="E148">
        <v>2011</v>
      </c>
      <c r="F148" t="s">
        <v>381</v>
      </c>
      <c r="G148" t="s">
        <v>358</v>
      </c>
      <c r="H148" t="s">
        <v>366</v>
      </c>
      <c r="I148" t="s">
        <v>493</v>
      </c>
      <c r="J148" t="s">
        <v>494</v>
      </c>
      <c r="K148" t="s">
        <v>592</v>
      </c>
    </row>
    <row r="149" spans="1:11">
      <c r="A149" t="s">
        <v>221</v>
      </c>
      <c r="B149" t="s">
        <v>167</v>
      </c>
      <c r="C149" t="s">
        <v>4</v>
      </c>
      <c r="D149" t="s">
        <v>652</v>
      </c>
      <c r="E149">
        <v>2014</v>
      </c>
      <c r="F149" t="s">
        <v>381</v>
      </c>
      <c r="G149" t="s">
        <v>358</v>
      </c>
      <c r="H149" t="s">
        <v>366</v>
      </c>
      <c r="I149" t="s">
        <v>493</v>
      </c>
      <c r="J149" t="s">
        <v>494</v>
      </c>
      <c r="K149" t="s">
        <v>592</v>
      </c>
    </row>
    <row r="150" spans="1:11">
      <c r="A150" t="s">
        <v>222</v>
      </c>
      <c r="B150" t="s">
        <v>223</v>
      </c>
      <c r="C150" t="s">
        <v>53</v>
      </c>
      <c r="D150" t="s">
        <v>653</v>
      </c>
      <c r="E150">
        <v>2009</v>
      </c>
      <c r="F150" t="s">
        <v>654</v>
      </c>
      <c r="G150" t="s">
        <v>358</v>
      </c>
      <c r="H150" t="s">
        <v>365</v>
      </c>
      <c r="I150" t="s">
        <v>493</v>
      </c>
      <c r="J150" t="s">
        <v>540</v>
      </c>
      <c r="K150" t="s">
        <v>592</v>
      </c>
    </row>
    <row r="151" spans="1:11">
      <c r="A151" t="s">
        <v>224</v>
      </c>
      <c r="B151" t="s">
        <v>225</v>
      </c>
      <c r="C151" t="s">
        <v>53</v>
      </c>
      <c r="D151" t="s">
        <v>655</v>
      </c>
      <c r="E151">
        <v>2005</v>
      </c>
      <c r="F151" t="s">
        <v>381</v>
      </c>
      <c r="G151" t="s">
        <v>358</v>
      </c>
      <c r="H151" t="s">
        <v>365</v>
      </c>
      <c r="I151" t="s">
        <v>493</v>
      </c>
      <c r="J151" t="s">
        <v>656</v>
      </c>
      <c r="K151" t="s">
        <v>592</v>
      </c>
    </row>
    <row r="152" spans="1:11">
      <c r="A152" t="s">
        <v>226</v>
      </c>
      <c r="B152" t="s">
        <v>169</v>
      </c>
      <c r="C152" t="s">
        <v>53</v>
      </c>
      <c r="D152" t="s">
        <v>657</v>
      </c>
      <c r="E152">
        <v>2008</v>
      </c>
      <c r="F152" t="s">
        <v>381</v>
      </c>
      <c r="G152" t="s">
        <v>358</v>
      </c>
      <c r="H152" t="s">
        <v>366</v>
      </c>
      <c r="I152" t="s">
        <v>449</v>
      </c>
      <c r="J152" t="s">
        <v>542</v>
      </c>
      <c r="K152" t="s">
        <v>592</v>
      </c>
    </row>
    <row r="153" spans="1:11">
      <c r="A153" t="s">
        <v>227</v>
      </c>
      <c r="B153" t="s">
        <v>167</v>
      </c>
      <c r="C153" t="s">
        <v>4</v>
      </c>
      <c r="D153" t="s">
        <v>658</v>
      </c>
      <c r="E153">
        <v>2011</v>
      </c>
      <c r="F153" t="s">
        <v>381</v>
      </c>
      <c r="G153" t="s">
        <v>358</v>
      </c>
      <c r="H153" t="s">
        <v>366</v>
      </c>
      <c r="I153" t="s">
        <v>496</v>
      </c>
      <c r="J153" t="s">
        <v>497</v>
      </c>
      <c r="K153" t="s">
        <v>592</v>
      </c>
    </row>
    <row r="154" spans="1:11">
      <c r="A154" t="s">
        <v>228</v>
      </c>
      <c r="B154" t="s">
        <v>210</v>
      </c>
      <c r="C154" t="s">
        <v>53</v>
      </c>
      <c r="D154" t="s">
        <v>659</v>
      </c>
      <c r="E154">
        <v>2010</v>
      </c>
      <c r="F154" t="s">
        <v>381</v>
      </c>
      <c r="G154" t="s">
        <v>358</v>
      </c>
      <c r="H154" t="s">
        <v>366</v>
      </c>
      <c r="I154" t="s">
        <v>395</v>
      </c>
      <c r="J154" t="s">
        <v>396</v>
      </c>
      <c r="K154" t="s">
        <v>592</v>
      </c>
    </row>
    <row r="155" spans="1:11">
      <c r="A155" t="s">
        <v>229</v>
      </c>
      <c r="B155" t="s">
        <v>230</v>
      </c>
      <c r="C155" t="s">
        <v>53</v>
      </c>
      <c r="D155" t="s">
        <v>660</v>
      </c>
      <c r="E155">
        <v>2005</v>
      </c>
      <c r="F155" t="s">
        <v>661</v>
      </c>
      <c r="G155" t="s">
        <v>359</v>
      </c>
      <c r="H155" t="s">
        <v>366</v>
      </c>
      <c r="I155" t="s">
        <v>395</v>
      </c>
      <c r="J155" t="s">
        <v>398</v>
      </c>
      <c r="K155" t="s">
        <v>592</v>
      </c>
    </row>
    <row r="156" spans="1:11">
      <c r="A156" t="s">
        <v>231</v>
      </c>
      <c r="B156" t="s">
        <v>232</v>
      </c>
      <c r="C156" t="s">
        <v>53</v>
      </c>
      <c r="D156" t="s">
        <v>662</v>
      </c>
      <c r="E156">
        <v>2014</v>
      </c>
      <c r="F156" t="s">
        <v>500</v>
      </c>
      <c r="G156" t="s">
        <v>358</v>
      </c>
      <c r="H156" t="s">
        <v>366</v>
      </c>
      <c r="I156" t="s">
        <v>395</v>
      </c>
      <c r="J156" t="s">
        <v>398</v>
      </c>
      <c r="K156" t="s">
        <v>592</v>
      </c>
    </row>
    <row r="157" spans="1:11">
      <c r="A157" t="s">
        <v>233</v>
      </c>
      <c r="B157" t="s">
        <v>234</v>
      </c>
      <c r="C157" t="s">
        <v>147</v>
      </c>
      <c r="D157" t="s">
        <v>663</v>
      </c>
      <c r="E157">
        <v>2010</v>
      </c>
      <c r="F157" t="s">
        <v>381</v>
      </c>
      <c r="G157" t="s">
        <v>358</v>
      </c>
      <c r="H157" t="s">
        <v>365</v>
      </c>
      <c r="I157" t="s">
        <v>546</v>
      </c>
      <c r="J157" t="s">
        <v>664</v>
      </c>
      <c r="K157" t="s">
        <v>592</v>
      </c>
    </row>
    <row r="158" spans="1:11">
      <c r="A158" t="s">
        <v>235</v>
      </c>
      <c r="B158" t="s">
        <v>234</v>
      </c>
      <c r="C158" t="s">
        <v>147</v>
      </c>
      <c r="D158" t="s">
        <v>665</v>
      </c>
      <c r="E158">
        <v>2010</v>
      </c>
      <c r="F158" t="s">
        <v>381</v>
      </c>
      <c r="G158" t="s">
        <v>358</v>
      </c>
      <c r="H158" t="s">
        <v>365</v>
      </c>
      <c r="I158" t="s">
        <v>546</v>
      </c>
      <c r="J158" t="s">
        <v>664</v>
      </c>
      <c r="K158" t="s">
        <v>592</v>
      </c>
    </row>
    <row r="159" spans="1:11">
      <c r="A159" t="s">
        <v>236</v>
      </c>
      <c r="B159" t="s">
        <v>237</v>
      </c>
      <c r="C159" t="s">
        <v>161</v>
      </c>
      <c r="D159" t="s">
        <v>666</v>
      </c>
      <c r="E159">
        <v>2014</v>
      </c>
      <c r="F159" t="s">
        <v>667</v>
      </c>
      <c r="G159" t="s">
        <v>358</v>
      </c>
      <c r="H159" t="s">
        <v>365</v>
      </c>
      <c r="I159" t="s">
        <v>546</v>
      </c>
      <c r="J159" t="s">
        <v>668</v>
      </c>
      <c r="K159" t="s">
        <v>592</v>
      </c>
    </row>
    <row r="160" spans="1:11">
      <c r="A160" t="s">
        <v>238</v>
      </c>
      <c r="B160" t="s">
        <v>237</v>
      </c>
      <c r="C160" t="s">
        <v>161</v>
      </c>
      <c r="D160" t="s">
        <v>669</v>
      </c>
      <c r="E160">
        <v>2014</v>
      </c>
      <c r="F160" t="s">
        <v>667</v>
      </c>
      <c r="G160" t="s">
        <v>358</v>
      </c>
      <c r="H160" t="s">
        <v>365</v>
      </c>
      <c r="I160" t="s">
        <v>546</v>
      </c>
      <c r="J160" t="s">
        <v>668</v>
      </c>
      <c r="K160" t="s">
        <v>592</v>
      </c>
    </row>
    <row r="161" spans="1:11">
      <c r="A161" t="s">
        <v>239</v>
      </c>
      <c r="B161" t="s">
        <v>237</v>
      </c>
      <c r="C161" t="s">
        <v>161</v>
      </c>
      <c r="D161" t="s">
        <v>670</v>
      </c>
      <c r="E161">
        <v>2014</v>
      </c>
      <c r="F161" t="s">
        <v>671</v>
      </c>
      <c r="G161" t="s">
        <v>358</v>
      </c>
      <c r="H161" t="s">
        <v>365</v>
      </c>
      <c r="I161" t="s">
        <v>546</v>
      </c>
      <c r="J161" t="s">
        <v>668</v>
      </c>
      <c r="K161" t="s">
        <v>592</v>
      </c>
    </row>
    <row r="162" spans="1:11">
      <c r="A162" t="s">
        <v>240</v>
      </c>
      <c r="B162" t="s">
        <v>165</v>
      </c>
      <c r="C162" t="s">
        <v>53</v>
      </c>
      <c r="D162" t="s">
        <v>672</v>
      </c>
      <c r="E162">
        <v>2007</v>
      </c>
      <c r="F162" t="s">
        <v>381</v>
      </c>
      <c r="G162" t="s">
        <v>358</v>
      </c>
      <c r="H162" t="s">
        <v>365</v>
      </c>
      <c r="I162" t="s">
        <v>673</v>
      </c>
      <c r="J162" t="s">
        <v>674</v>
      </c>
      <c r="K162" t="s">
        <v>592</v>
      </c>
    </row>
    <row r="163" spans="1:11">
      <c r="A163" t="s">
        <v>241</v>
      </c>
      <c r="B163" t="s">
        <v>174</v>
      </c>
      <c r="C163" t="s">
        <v>4</v>
      </c>
      <c r="D163" t="s">
        <v>675</v>
      </c>
      <c r="E163">
        <v>2012</v>
      </c>
      <c r="F163" t="s">
        <v>381</v>
      </c>
      <c r="G163" t="s">
        <v>358</v>
      </c>
      <c r="H163" t="s">
        <v>366</v>
      </c>
      <c r="I163" t="s">
        <v>673</v>
      </c>
      <c r="J163" t="s">
        <v>676</v>
      </c>
      <c r="K163" t="s">
        <v>592</v>
      </c>
    </row>
    <row r="164" spans="1:11">
      <c r="A164" t="s">
        <v>242</v>
      </c>
      <c r="B164" t="s">
        <v>218</v>
      </c>
      <c r="C164" t="s">
        <v>4</v>
      </c>
      <c r="D164" t="s">
        <v>677</v>
      </c>
      <c r="E164">
        <v>2007</v>
      </c>
      <c r="F164" t="s">
        <v>381</v>
      </c>
      <c r="G164" t="s">
        <v>358</v>
      </c>
      <c r="H164" t="s">
        <v>366</v>
      </c>
      <c r="I164" t="s">
        <v>678</v>
      </c>
      <c r="J164" t="s">
        <v>679</v>
      </c>
      <c r="K164" t="s">
        <v>592</v>
      </c>
    </row>
    <row r="165" spans="1:11">
      <c r="A165" t="s">
        <v>243</v>
      </c>
      <c r="B165" t="s">
        <v>167</v>
      </c>
      <c r="C165" t="s">
        <v>4</v>
      </c>
      <c r="D165" t="s">
        <v>680</v>
      </c>
      <c r="E165">
        <v>2014</v>
      </c>
      <c r="F165" t="s">
        <v>381</v>
      </c>
      <c r="G165" t="s">
        <v>358</v>
      </c>
      <c r="H165" t="s">
        <v>365</v>
      </c>
      <c r="I165" t="s">
        <v>678</v>
      </c>
      <c r="J165" t="s">
        <v>679</v>
      </c>
      <c r="K165" t="s">
        <v>592</v>
      </c>
    </row>
    <row r="166" spans="1:11">
      <c r="A166" t="s">
        <v>244</v>
      </c>
      <c r="B166" t="s">
        <v>178</v>
      </c>
      <c r="C166" t="s">
        <v>9</v>
      </c>
      <c r="D166" t="s">
        <v>681</v>
      </c>
      <c r="E166">
        <v>2009</v>
      </c>
      <c r="F166" t="s">
        <v>682</v>
      </c>
      <c r="G166" t="s">
        <v>358</v>
      </c>
      <c r="H166" t="s">
        <v>365</v>
      </c>
      <c r="I166" t="s">
        <v>377</v>
      </c>
      <c r="J166" t="s">
        <v>683</v>
      </c>
      <c r="K166" t="s">
        <v>592</v>
      </c>
    </row>
    <row r="167" spans="1:11">
      <c r="A167" t="s">
        <v>245</v>
      </c>
      <c r="B167" t="s">
        <v>167</v>
      </c>
      <c r="C167" t="s">
        <v>4</v>
      </c>
      <c r="D167" t="s">
        <v>684</v>
      </c>
      <c r="E167">
        <v>2013</v>
      </c>
      <c r="F167" t="s">
        <v>381</v>
      </c>
      <c r="G167" t="s">
        <v>358</v>
      </c>
      <c r="H167" t="s">
        <v>365</v>
      </c>
      <c r="I167" t="s">
        <v>377</v>
      </c>
      <c r="J167" t="s">
        <v>683</v>
      </c>
      <c r="K167" t="s">
        <v>592</v>
      </c>
    </row>
    <row r="168" spans="1:11">
      <c r="A168" t="s">
        <v>246</v>
      </c>
      <c r="B168" t="s">
        <v>167</v>
      </c>
      <c r="C168" t="s">
        <v>4</v>
      </c>
      <c r="D168" t="s">
        <v>685</v>
      </c>
      <c r="E168">
        <v>2013</v>
      </c>
      <c r="F168" t="s">
        <v>381</v>
      </c>
      <c r="G168" t="s">
        <v>358</v>
      </c>
      <c r="H168" t="s">
        <v>366</v>
      </c>
      <c r="I168" t="s">
        <v>377</v>
      </c>
      <c r="J168" t="s">
        <v>686</v>
      </c>
      <c r="K168" t="s">
        <v>592</v>
      </c>
    </row>
    <row r="169" spans="1:11">
      <c r="A169" t="s">
        <v>247</v>
      </c>
      <c r="B169" t="s">
        <v>208</v>
      </c>
      <c r="C169" t="s">
        <v>53</v>
      </c>
      <c r="D169" t="s">
        <v>687</v>
      </c>
      <c r="E169">
        <v>2009</v>
      </c>
      <c r="F169" t="s">
        <v>688</v>
      </c>
      <c r="G169" t="s">
        <v>358</v>
      </c>
      <c r="H169" t="s">
        <v>367</v>
      </c>
      <c r="I169" t="s">
        <v>377</v>
      </c>
      <c r="J169" t="s">
        <v>423</v>
      </c>
      <c r="K169" t="s">
        <v>592</v>
      </c>
    </row>
    <row r="170" spans="1:11">
      <c r="A170" t="s">
        <v>248</v>
      </c>
      <c r="B170" t="s">
        <v>249</v>
      </c>
      <c r="C170" t="s">
        <v>53</v>
      </c>
      <c r="D170" t="s">
        <v>689</v>
      </c>
      <c r="E170">
        <v>2003</v>
      </c>
      <c r="F170" t="s">
        <v>381</v>
      </c>
      <c r="G170" t="s">
        <v>359</v>
      </c>
      <c r="H170" t="s">
        <v>365</v>
      </c>
      <c r="I170" t="s">
        <v>377</v>
      </c>
      <c r="J170" t="s">
        <v>400</v>
      </c>
      <c r="K170" t="s">
        <v>592</v>
      </c>
    </row>
    <row r="171" spans="1:11">
      <c r="A171" t="s">
        <v>250</v>
      </c>
      <c r="B171" t="s">
        <v>169</v>
      </c>
      <c r="C171" t="s">
        <v>53</v>
      </c>
      <c r="D171" t="s">
        <v>690</v>
      </c>
      <c r="E171">
        <v>2008</v>
      </c>
      <c r="F171" t="s">
        <v>381</v>
      </c>
      <c r="G171" t="s">
        <v>358</v>
      </c>
      <c r="H171" t="s">
        <v>365</v>
      </c>
      <c r="I171" t="s">
        <v>377</v>
      </c>
      <c r="J171" t="s">
        <v>400</v>
      </c>
      <c r="K171" t="s">
        <v>592</v>
      </c>
    </row>
    <row r="172" spans="1:11">
      <c r="A172" t="s">
        <v>251</v>
      </c>
      <c r="B172" t="s">
        <v>169</v>
      </c>
      <c r="C172" t="s">
        <v>53</v>
      </c>
      <c r="D172" t="s">
        <v>691</v>
      </c>
      <c r="E172">
        <v>2008</v>
      </c>
      <c r="F172" t="s">
        <v>381</v>
      </c>
      <c r="G172" t="s">
        <v>358</v>
      </c>
      <c r="H172" t="s">
        <v>367</v>
      </c>
      <c r="I172" t="s">
        <v>377</v>
      </c>
      <c r="J172" t="s">
        <v>400</v>
      </c>
      <c r="K172" t="s">
        <v>592</v>
      </c>
    </row>
    <row r="173" spans="1:11">
      <c r="A173" t="s">
        <v>252</v>
      </c>
      <c r="B173" t="s">
        <v>178</v>
      </c>
      <c r="C173" t="s">
        <v>9</v>
      </c>
      <c r="D173" t="s">
        <v>692</v>
      </c>
      <c r="E173">
        <v>2009</v>
      </c>
      <c r="F173" t="s">
        <v>381</v>
      </c>
      <c r="G173" t="s">
        <v>358</v>
      </c>
      <c r="H173" t="s">
        <v>365</v>
      </c>
      <c r="I173" t="s">
        <v>377</v>
      </c>
      <c r="J173" t="s">
        <v>400</v>
      </c>
      <c r="K173" t="s">
        <v>592</v>
      </c>
    </row>
    <row r="174" spans="1:11">
      <c r="A174" t="s">
        <v>253</v>
      </c>
      <c r="B174" t="s">
        <v>178</v>
      </c>
      <c r="C174" t="s">
        <v>9</v>
      </c>
      <c r="D174" t="s">
        <v>693</v>
      </c>
      <c r="E174">
        <v>2011</v>
      </c>
      <c r="F174" t="s">
        <v>381</v>
      </c>
      <c r="G174" t="s">
        <v>358</v>
      </c>
      <c r="H174" t="s">
        <v>365</v>
      </c>
      <c r="I174" t="s">
        <v>377</v>
      </c>
      <c r="J174" t="s">
        <v>400</v>
      </c>
      <c r="K174" t="s">
        <v>592</v>
      </c>
    </row>
    <row r="175" spans="1:11">
      <c r="A175" t="s">
        <v>254</v>
      </c>
      <c r="B175" t="s">
        <v>167</v>
      </c>
      <c r="C175" t="s">
        <v>4</v>
      </c>
      <c r="D175" t="s">
        <v>694</v>
      </c>
      <c r="E175">
        <v>2012</v>
      </c>
      <c r="F175" t="s">
        <v>381</v>
      </c>
      <c r="G175" t="s">
        <v>358</v>
      </c>
      <c r="H175" t="s">
        <v>366</v>
      </c>
      <c r="I175" t="s">
        <v>377</v>
      </c>
      <c r="J175" t="s">
        <v>400</v>
      </c>
      <c r="K175" t="s">
        <v>592</v>
      </c>
    </row>
    <row r="176" spans="1:11">
      <c r="A176" t="s">
        <v>255</v>
      </c>
      <c r="B176" t="s">
        <v>167</v>
      </c>
      <c r="C176" t="s">
        <v>4</v>
      </c>
      <c r="D176" t="s">
        <v>695</v>
      </c>
      <c r="E176">
        <v>2013</v>
      </c>
      <c r="F176" t="s">
        <v>381</v>
      </c>
      <c r="G176" t="s">
        <v>358</v>
      </c>
      <c r="H176" t="s">
        <v>366</v>
      </c>
      <c r="I176" t="s">
        <v>377</v>
      </c>
      <c r="J176" t="s">
        <v>400</v>
      </c>
      <c r="K176" t="s">
        <v>592</v>
      </c>
    </row>
    <row r="177" spans="1:11">
      <c r="A177" t="s">
        <v>257</v>
      </c>
      <c r="B177" t="s">
        <v>258</v>
      </c>
      <c r="C177" t="s">
        <v>256</v>
      </c>
      <c r="D177" t="s">
        <v>696</v>
      </c>
      <c r="E177">
        <v>2013</v>
      </c>
      <c r="F177" t="s">
        <v>667</v>
      </c>
      <c r="G177" t="s">
        <v>358</v>
      </c>
      <c r="H177" t="s">
        <v>365</v>
      </c>
      <c r="I177" t="s">
        <v>377</v>
      </c>
      <c r="J177" t="s">
        <v>400</v>
      </c>
      <c r="K177" t="s">
        <v>592</v>
      </c>
    </row>
    <row r="178" spans="1:11">
      <c r="A178" t="s">
        <v>259</v>
      </c>
      <c r="B178" t="s">
        <v>188</v>
      </c>
      <c r="C178" t="s">
        <v>53</v>
      </c>
      <c r="D178" t="s">
        <v>697</v>
      </c>
      <c r="E178">
        <v>2006</v>
      </c>
      <c r="F178" t="s">
        <v>587</v>
      </c>
      <c r="G178" t="s">
        <v>358</v>
      </c>
      <c r="I178" t="s">
        <v>377</v>
      </c>
      <c r="J178" t="s">
        <v>400</v>
      </c>
      <c r="K178" t="s">
        <v>592</v>
      </c>
    </row>
    <row r="179" spans="1:11">
      <c r="A179" t="s">
        <v>260</v>
      </c>
      <c r="B179" t="s">
        <v>261</v>
      </c>
      <c r="C179" t="s">
        <v>4</v>
      </c>
      <c r="D179" t="s">
        <v>698</v>
      </c>
      <c r="E179">
        <v>2012</v>
      </c>
      <c r="F179" t="s">
        <v>699</v>
      </c>
      <c r="G179" t="s">
        <v>358</v>
      </c>
      <c r="H179" t="s">
        <v>365</v>
      </c>
      <c r="I179" t="s">
        <v>377</v>
      </c>
      <c r="J179" t="s">
        <v>400</v>
      </c>
      <c r="K179" t="s">
        <v>592</v>
      </c>
    </row>
    <row r="180" spans="1:11">
      <c r="A180" t="s">
        <v>262</v>
      </c>
      <c r="B180" t="s">
        <v>165</v>
      </c>
      <c r="C180" t="s">
        <v>53</v>
      </c>
      <c r="D180" t="s">
        <v>700</v>
      </c>
      <c r="E180">
        <v>2007</v>
      </c>
      <c r="F180" t="s">
        <v>381</v>
      </c>
      <c r="G180" t="s">
        <v>361</v>
      </c>
      <c r="I180" t="s">
        <v>377</v>
      </c>
      <c r="J180" t="s">
        <v>427</v>
      </c>
      <c r="K180" t="s">
        <v>592</v>
      </c>
    </row>
    <row r="181" spans="1:11">
      <c r="A181" t="s">
        <v>263</v>
      </c>
      <c r="B181" t="s">
        <v>165</v>
      </c>
      <c r="C181" t="s">
        <v>53</v>
      </c>
      <c r="D181" t="s">
        <v>701</v>
      </c>
      <c r="E181">
        <v>2007</v>
      </c>
      <c r="F181" t="s">
        <v>381</v>
      </c>
      <c r="G181" t="s">
        <v>361</v>
      </c>
      <c r="H181" t="s">
        <v>365</v>
      </c>
      <c r="I181" t="s">
        <v>377</v>
      </c>
      <c r="J181" t="s">
        <v>427</v>
      </c>
      <c r="K181" t="s">
        <v>592</v>
      </c>
    </row>
    <row r="182" spans="1:11">
      <c r="A182" t="s">
        <v>264</v>
      </c>
      <c r="B182" t="s">
        <v>165</v>
      </c>
      <c r="C182" t="s">
        <v>53</v>
      </c>
      <c r="D182" t="s">
        <v>702</v>
      </c>
      <c r="E182">
        <v>2002</v>
      </c>
      <c r="F182" t="s">
        <v>703</v>
      </c>
      <c r="G182" t="s">
        <v>359</v>
      </c>
      <c r="H182" t="s">
        <v>365</v>
      </c>
      <c r="I182" t="s">
        <v>377</v>
      </c>
      <c r="J182" t="s">
        <v>427</v>
      </c>
      <c r="K182" t="s">
        <v>592</v>
      </c>
    </row>
    <row r="183" spans="1:11">
      <c r="A183" t="s">
        <v>265</v>
      </c>
      <c r="B183" t="s">
        <v>266</v>
      </c>
      <c r="C183" t="s">
        <v>4</v>
      </c>
      <c r="D183" t="s">
        <v>704</v>
      </c>
      <c r="E183">
        <v>2007</v>
      </c>
      <c r="F183" t="s">
        <v>705</v>
      </c>
      <c r="G183" t="s">
        <v>358</v>
      </c>
      <c r="I183" t="s">
        <v>377</v>
      </c>
      <c r="J183" t="s">
        <v>427</v>
      </c>
      <c r="K183" t="s">
        <v>592</v>
      </c>
    </row>
    <row r="184" spans="1:11">
      <c r="A184" t="s">
        <v>267</v>
      </c>
      <c r="B184" t="s">
        <v>165</v>
      </c>
      <c r="C184" t="s">
        <v>53</v>
      </c>
      <c r="D184" t="s">
        <v>706</v>
      </c>
      <c r="E184">
        <v>2008</v>
      </c>
      <c r="F184" t="s">
        <v>707</v>
      </c>
      <c r="G184" t="s">
        <v>359</v>
      </c>
      <c r="H184" t="s">
        <v>365</v>
      </c>
      <c r="I184" t="s">
        <v>377</v>
      </c>
      <c r="J184" t="s">
        <v>708</v>
      </c>
      <c r="K184" t="s">
        <v>592</v>
      </c>
    </row>
    <row r="185" spans="1:11">
      <c r="A185" t="s">
        <v>268</v>
      </c>
      <c r="B185" t="s">
        <v>165</v>
      </c>
      <c r="C185" t="s">
        <v>53</v>
      </c>
      <c r="D185" t="s">
        <v>709</v>
      </c>
      <c r="E185">
        <v>2007</v>
      </c>
      <c r="F185" t="s">
        <v>381</v>
      </c>
      <c r="G185" t="s">
        <v>358</v>
      </c>
      <c r="H185" t="s">
        <v>366</v>
      </c>
      <c r="I185" t="s">
        <v>377</v>
      </c>
      <c r="J185" t="s">
        <v>378</v>
      </c>
      <c r="K185" t="s">
        <v>592</v>
      </c>
    </row>
    <row r="186" spans="1:11">
      <c r="A186" t="s">
        <v>269</v>
      </c>
      <c r="B186" t="s">
        <v>178</v>
      </c>
      <c r="C186" t="s">
        <v>9</v>
      </c>
      <c r="D186" t="s">
        <v>710</v>
      </c>
      <c r="E186">
        <v>2009</v>
      </c>
      <c r="F186" t="s">
        <v>381</v>
      </c>
      <c r="G186" t="s">
        <v>358</v>
      </c>
      <c r="H186" t="s">
        <v>365</v>
      </c>
      <c r="I186" t="s">
        <v>377</v>
      </c>
      <c r="J186" t="s">
        <v>378</v>
      </c>
      <c r="K186" t="s">
        <v>592</v>
      </c>
    </row>
    <row r="187" spans="1:11">
      <c r="A187" t="s">
        <v>270</v>
      </c>
      <c r="B187" t="s">
        <v>169</v>
      </c>
      <c r="C187" t="s">
        <v>53</v>
      </c>
      <c r="D187" t="s">
        <v>711</v>
      </c>
      <c r="E187">
        <v>2008</v>
      </c>
      <c r="F187" t="s">
        <v>381</v>
      </c>
      <c r="G187" t="s">
        <v>358</v>
      </c>
      <c r="H187" t="s">
        <v>365</v>
      </c>
      <c r="I187" t="s">
        <v>478</v>
      </c>
      <c r="J187" t="s">
        <v>479</v>
      </c>
      <c r="K187" t="s">
        <v>592</v>
      </c>
    </row>
    <row r="188" spans="1:11">
      <c r="A188" t="s">
        <v>271</v>
      </c>
      <c r="B188" t="s">
        <v>272</v>
      </c>
      <c r="C188" t="s">
        <v>161</v>
      </c>
      <c r="D188" t="s">
        <v>712</v>
      </c>
      <c r="E188">
        <v>2009</v>
      </c>
      <c r="F188" t="s">
        <v>713</v>
      </c>
      <c r="G188" t="s">
        <v>358</v>
      </c>
      <c r="H188" t="s">
        <v>365</v>
      </c>
      <c r="I188" t="s">
        <v>478</v>
      </c>
      <c r="J188" t="s">
        <v>479</v>
      </c>
      <c r="K188" t="s">
        <v>592</v>
      </c>
    </row>
    <row r="189" spans="1:11">
      <c r="A189" t="s">
        <v>273</v>
      </c>
      <c r="B189" t="s">
        <v>178</v>
      </c>
      <c r="C189" t="s">
        <v>9</v>
      </c>
      <c r="D189" t="s">
        <v>714</v>
      </c>
      <c r="E189">
        <v>2011</v>
      </c>
      <c r="F189" t="s">
        <v>381</v>
      </c>
      <c r="G189" t="s">
        <v>358</v>
      </c>
      <c r="H189" t="s">
        <v>365</v>
      </c>
      <c r="I189" t="s">
        <v>715</v>
      </c>
      <c r="J189" t="s">
        <v>716</v>
      </c>
      <c r="K189" t="s">
        <v>592</v>
      </c>
    </row>
    <row r="190" spans="1:11">
      <c r="A190" t="s">
        <v>274</v>
      </c>
      <c r="B190" t="s">
        <v>275</v>
      </c>
      <c r="C190" t="s">
        <v>161</v>
      </c>
      <c r="D190" t="s">
        <v>717</v>
      </c>
      <c r="E190">
        <v>2006</v>
      </c>
      <c r="F190" t="s">
        <v>718</v>
      </c>
      <c r="G190" t="s">
        <v>358</v>
      </c>
      <c r="H190" t="s">
        <v>366</v>
      </c>
      <c r="I190" t="s">
        <v>432</v>
      </c>
      <c r="J190" t="s">
        <v>719</v>
      </c>
      <c r="K190" t="s">
        <v>592</v>
      </c>
    </row>
    <row r="191" spans="1:11">
      <c r="A191" t="s">
        <v>276</v>
      </c>
      <c r="B191" t="s">
        <v>249</v>
      </c>
      <c r="C191" t="s">
        <v>53</v>
      </c>
      <c r="D191" t="s">
        <v>720</v>
      </c>
      <c r="E191">
        <v>2003</v>
      </c>
      <c r="F191" t="s">
        <v>381</v>
      </c>
      <c r="G191" t="s">
        <v>359</v>
      </c>
      <c r="H191" t="s">
        <v>365</v>
      </c>
      <c r="I191" t="s">
        <v>721</v>
      </c>
      <c r="J191" t="s">
        <v>722</v>
      </c>
      <c r="K191" t="s">
        <v>592</v>
      </c>
    </row>
    <row r="192" spans="1:11">
      <c r="A192" t="s">
        <v>277</v>
      </c>
      <c r="B192" t="s">
        <v>165</v>
      </c>
      <c r="C192" t="s">
        <v>53</v>
      </c>
      <c r="D192" t="s">
        <v>723</v>
      </c>
      <c r="E192">
        <v>2007</v>
      </c>
      <c r="F192" t="s">
        <v>381</v>
      </c>
      <c r="G192" t="s">
        <v>358</v>
      </c>
      <c r="H192" t="s">
        <v>366</v>
      </c>
      <c r="I192" t="s">
        <v>405</v>
      </c>
      <c r="J192" t="s">
        <v>506</v>
      </c>
      <c r="K192" t="s">
        <v>592</v>
      </c>
    </row>
    <row r="193" spans="1:11">
      <c r="A193" t="s">
        <v>278</v>
      </c>
      <c r="B193" t="s">
        <v>165</v>
      </c>
      <c r="C193" t="s">
        <v>53</v>
      </c>
      <c r="D193" t="s">
        <v>724</v>
      </c>
      <c r="E193">
        <v>2007</v>
      </c>
      <c r="F193" t="s">
        <v>381</v>
      </c>
      <c r="G193" t="s">
        <v>358</v>
      </c>
      <c r="H193" t="s">
        <v>366</v>
      </c>
      <c r="I193" t="s">
        <v>384</v>
      </c>
      <c r="J193" t="s">
        <v>385</v>
      </c>
      <c r="K193" t="s">
        <v>592</v>
      </c>
    </row>
    <row r="194" spans="1:11">
      <c r="A194" t="s">
        <v>279</v>
      </c>
      <c r="B194" t="s">
        <v>181</v>
      </c>
      <c r="C194" t="s">
        <v>53</v>
      </c>
      <c r="D194" t="s">
        <v>725</v>
      </c>
      <c r="E194">
        <v>2010</v>
      </c>
      <c r="F194" t="s">
        <v>726</v>
      </c>
      <c r="G194" t="s">
        <v>358</v>
      </c>
      <c r="H194" t="s">
        <v>366</v>
      </c>
      <c r="I194" t="s">
        <v>384</v>
      </c>
      <c r="J194" t="s">
        <v>385</v>
      </c>
      <c r="K194" t="s">
        <v>592</v>
      </c>
    </row>
    <row r="195" spans="1:11">
      <c r="A195" t="s">
        <v>280</v>
      </c>
      <c r="B195" t="s">
        <v>165</v>
      </c>
      <c r="C195" t="s">
        <v>53</v>
      </c>
      <c r="D195" t="s">
        <v>727</v>
      </c>
      <c r="E195">
        <v>2008</v>
      </c>
      <c r="F195" t="s">
        <v>728</v>
      </c>
      <c r="G195" t="s">
        <v>358</v>
      </c>
      <c r="H195" t="s">
        <v>366</v>
      </c>
      <c r="I195" t="s">
        <v>384</v>
      </c>
      <c r="J195" t="s">
        <v>729</v>
      </c>
      <c r="K195" t="s">
        <v>592</v>
      </c>
    </row>
    <row r="196" spans="1:11">
      <c r="A196" t="s">
        <v>281</v>
      </c>
      <c r="B196" t="s">
        <v>100</v>
      </c>
      <c r="C196" t="s">
        <v>53</v>
      </c>
      <c r="D196" t="s">
        <v>730</v>
      </c>
      <c r="E196">
        <v>2008</v>
      </c>
      <c r="F196" t="s">
        <v>731</v>
      </c>
      <c r="G196" t="s">
        <v>358</v>
      </c>
      <c r="H196" t="s">
        <v>366</v>
      </c>
      <c r="I196" t="s">
        <v>384</v>
      </c>
      <c r="J196" t="s">
        <v>729</v>
      </c>
      <c r="K196" t="s">
        <v>592</v>
      </c>
    </row>
    <row r="197" spans="1:11">
      <c r="A197" t="s">
        <v>282</v>
      </c>
      <c r="B197" t="s">
        <v>210</v>
      </c>
      <c r="C197" t="s">
        <v>53</v>
      </c>
      <c r="D197" t="s">
        <v>732</v>
      </c>
      <c r="E197">
        <v>2009</v>
      </c>
      <c r="F197" t="s">
        <v>726</v>
      </c>
      <c r="G197" t="s">
        <v>358</v>
      </c>
      <c r="H197" t="s">
        <v>366</v>
      </c>
      <c r="I197" t="s">
        <v>384</v>
      </c>
      <c r="J197" t="s">
        <v>729</v>
      </c>
      <c r="K197" t="s">
        <v>592</v>
      </c>
    </row>
    <row r="198" spans="1:11">
      <c r="A198" t="s">
        <v>283</v>
      </c>
      <c r="B198" t="s">
        <v>181</v>
      </c>
      <c r="C198" t="s">
        <v>53</v>
      </c>
      <c r="D198" t="s">
        <v>733</v>
      </c>
      <c r="E198">
        <v>2010</v>
      </c>
      <c r="F198" t="s">
        <v>734</v>
      </c>
      <c r="G198" t="s">
        <v>358</v>
      </c>
      <c r="H198" t="s">
        <v>366</v>
      </c>
      <c r="I198" t="s">
        <v>384</v>
      </c>
      <c r="J198" t="s">
        <v>441</v>
      </c>
      <c r="K198" t="s">
        <v>592</v>
      </c>
    </row>
    <row r="199" spans="1:11">
      <c r="A199" t="s">
        <v>284</v>
      </c>
      <c r="B199" t="s">
        <v>285</v>
      </c>
      <c r="C199" t="s">
        <v>9</v>
      </c>
      <c r="D199" t="s">
        <v>735</v>
      </c>
      <c r="E199">
        <v>2011</v>
      </c>
      <c r="F199" t="s">
        <v>736</v>
      </c>
      <c r="G199" t="s">
        <v>359</v>
      </c>
      <c r="H199" t="s">
        <v>364</v>
      </c>
      <c r="I199" t="s">
        <v>414</v>
      </c>
      <c r="J199" t="s">
        <v>482</v>
      </c>
      <c r="K199" t="s">
        <v>737</v>
      </c>
    </row>
    <row r="200" spans="1:11">
      <c r="A200" t="s">
        <v>286</v>
      </c>
      <c r="B200" t="s">
        <v>287</v>
      </c>
      <c r="C200" t="s">
        <v>18</v>
      </c>
      <c r="D200" t="s">
        <v>738</v>
      </c>
      <c r="E200">
        <v>2012</v>
      </c>
      <c r="F200" t="s">
        <v>381</v>
      </c>
      <c r="G200" t="s">
        <v>358</v>
      </c>
      <c r="H200" t="s">
        <v>364</v>
      </c>
      <c r="I200" t="s">
        <v>606</v>
      </c>
      <c r="J200" t="s">
        <v>607</v>
      </c>
      <c r="K200" t="s">
        <v>737</v>
      </c>
    </row>
    <row r="201" spans="1:11">
      <c r="A201" t="s">
        <v>288</v>
      </c>
      <c r="B201" t="s">
        <v>289</v>
      </c>
      <c r="C201" t="s">
        <v>12</v>
      </c>
      <c r="D201" t="s">
        <v>739</v>
      </c>
      <c r="E201">
        <v>1997</v>
      </c>
      <c r="F201" t="s">
        <v>381</v>
      </c>
      <c r="G201" t="s">
        <v>360</v>
      </c>
      <c r="H201" t="s">
        <v>364</v>
      </c>
      <c r="I201" t="s">
        <v>387</v>
      </c>
      <c r="J201" t="s">
        <v>391</v>
      </c>
      <c r="K201" t="s">
        <v>737</v>
      </c>
    </row>
    <row r="202" spans="1:11">
      <c r="A202" t="s">
        <v>290</v>
      </c>
      <c r="B202" t="s">
        <v>291</v>
      </c>
      <c r="C202" t="s">
        <v>53</v>
      </c>
      <c r="D202" t="s">
        <v>740</v>
      </c>
      <c r="E202">
        <v>2011</v>
      </c>
      <c r="F202" t="s">
        <v>381</v>
      </c>
      <c r="G202" t="s">
        <v>358</v>
      </c>
      <c r="H202" t="s">
        <v>364</v>
      </c>
      <c r="I202" t="s">
        <v>387</v>
      </c>
      <c r="J202" t="s">
        <v>391</v>
      </c>
      <c r="K202" t="s">
        <v>737</v>
      </c>
    </row>
    <row r="203" spans="1:11">
      <c r="A203" t="s">
        <v>292</v>
      </c>
      <c r="B203" t="s">
        <v>293</v>
      </c>
      <c r="C203" t="s">
        <v>12</v>
      </c>
      <c r="D203" t="s">
        <v>741</v>
      </c>
      <c r="E203">
        <v>2013</v>
      </c>
      <c r="F203" t="s">
        <v>381</v>
      </c>
      <c r="G203" t="s">
        <v>358</v>
      </c>
      <c r="H203" t="s">
        <v>364</v>
      </c>
      <c r="I203" t="s">
        <v>387</v>
      </c>
      <c r="J203" t="s">
        <v>391</v>
      </c>
      <c r="K203" t="s">
        <v>737</v>
      </c>
    </row>
    <row r="204" spans="1:11">
      <c r="A204" t="s">
        <v>294</v>
      </c>
      <c r="B204" t="s">
        <v>293</v>
      </c>
      <c r="C204" t="s">
        <v>12</v>
      </c>
      <c r="D204" t="s">
        <v>742</v>
      </c>
      <c r="E204">
        <v>2014</v>
      </c>
      <c r="F204" t="s">
        <v>381</v>
      </c>
      <c r="G204" t="s">
        <v>358</v>
      </c>
      <c r="H204" t="s">
        <v>364</v>
      </c>
      <c r="I204" t="s">
        <v>387</v>
      </c>
      <c r="J204" t="s">
        <v>391</v>
      </c>
      <c r="K204" t="s">
        <v>737</v>
      </c>
    </row>
    <row r="205" spans="1:11">
      <c r="A205" t="s">
        <v>295</v>
      </c>
      <c r="B205" t="s">
        <v>296</v>
      </c>
      <c r="C205" t="s">
        <v>12</v>
      </c>
      <c r="D205" t="s">
        <v>743</v>
      </c>
      <c r="E205">
        <v>2015</v>
      </c>
      <c r="F205" t="s">
        <v>381</v>
      </c>
      <c r="G205" t="s">
        <v>358</v>
      </c>
      <c r="H205" t="s">
        <v>364</v>
      </c>
      <c r="I205" t="s">
        <v>387</v>
      </c>
      <c r="J205" t="s">
        <v>391</v>
      </c>
      <c r="K205" t="s">
        <v>737</v>
      </c>
    </row>
    <row r="206" spans="1:11">
      <c r="A206" t="s">
        <v>297</v>
      </c>
      <c r="B206" t="s">
        <v>291</v>
      </c>
      <c r="C206" t="s">
        <v>53</v>
      </c>
      <c r="D206" t="s">
        <v>744</v>
      </c>
      <c r="G206" t="s">
        <v>358</v>
      </c>
      <c r="H206" t="s">
        <v>364</v>
      </c>
      <c r="I206" t="s">
        <v>387</v>
      </c>
      <c r="J206" t="s">
        <v>391</v>
      </c>
      <c r="K206" t="s">
        <v>737</v>
      </c>
    </row>
    <row r="207" spans="1:11">
      <c r="A207" t="s">
        <v>298</v>
      </c>
      <c r="B207" t="s">
        <v>289</v>
      </c>
      <c r="C207" t="s">
        <v>12</v>
      </c>
      <c r="D207" t="s">
        <v>745</v>
      </c>
      <c r="E207">
        <v>1997</v>
      </c>
      <c r="F207" t="s">
        <v>394</v>
      </c>
      <c r="G207" t="s">
        <v>361</v>
      </c>
      <c r="H207" t="s">
        <v>364</v>
      </c>
      <c r="I207" t="s">
        <v>515</v>
      </c>
      <c r="J207" t="s">
        <v>576</v>
      </c>
      <c r="K207" t="s">
        <v>737</v>
      </c>
    </row>
    <row r="208" spans="1:11">
      <c r="A208" t="s">
        <v>299</v>
      </c>
      <c r="B208" t="s">
        <v>289</v>
      </c>
      <c r="C208" t="s">
        <v>12</v>
      </c>
      <c r="D208" t="s">
        <v>746</v>
      </c>
      <c r="E208">
        <v>2010</v>
      </c>
      <c r="F208" t="s">
        <v>381</v>
      </c>
      <c r="G208" t="s">
        <v>358</v>
      </c>
      <c r="H208" t="s">
        <v>364</v>
      </c>
      <c r="I208" t="s">
        <v>457</v>
      </c>
      <c r="J208" t="s">
        <v>458</v>
      </c>
      <c r="K208" t="s">
        <v>737</v>
      </c>
    </row>
    <row r="209" spans="1:11">
      <c r="A209" t="s">
        <v>300</v>
      </c>
      <c r="B209" t="s">
        <v>287</v>
      </c>
      <c r="C209" t="s">
        <v>18</v>
      </c>
      <c r="D209" t="s">
        <v>747</v>
      </c>
      <c r="E209">
        <v>2012</v>
      </c>
      <c r="F209" t="s">
        <v>381</v>
      </c>
      <c r="G209" t="s">
        <v>358</v>
      </c>
      <c r="H209" t="s">
        <v>364</v>
      </c>
      <c r="I209" t="s">
        <v>493</v>
      </c>
      <c r="J209" t="s">
        <v>494</v>
      </c>
      <c r="K209" t="s">
        <v>737</v>
      </c>
    </row>
    <row r="210" spans="1:11">
      <c r="A210" t="s">
        <v>301</v>
      </c>
      <c r="B210" t="s">
        <v>293</v>
      </c>
      <c r="C210" t="s">
        <v>12</v>
      </c>
      <c r="D210" t="s">
        <v>748</v>
      </c>
      <c r="E210">
        <v>2014</v>
      </c>
      <c r="F210" t="s">
        <v>381</v>
      </c>
      <c r="G210" t="s">
        <v>358</v>
      </c>
      <c r="H210" t="s">
        <v>364</v>
      </c>
      <c r="I210" t="s">
        <v>493</v>
      </c>
      <c r="J210" t="s">
        <v>494</v>
      </c>
      <c r="K210" t="s">
        <v>737</v>
      </c>
    </row>
    <row r="211" spans="1:11">
      <c r="A211" t="s">
        <v>302</v>
      </c>
      <c r="B211" t="s">
        <v>303</v>
      </c>
      <c r="C211" t="s">
        <v>18</v>
      </c>
      <c r="D211" t="s">
        <v>749</v>
      </c>
      <c r="E211">
        <v>2011</v>
      </c>
      <c r="F211" t="s">
        <v>381</v>
      </c>
      <c r="G211" t="s">
        <v>358</v>
      </c>
      <c r="H211" t="s">
        <v>364</v>
      </c>
      <c r="I211" t="s">
        <v>496</v>
      </c>
      <c r="J211" t="s">
        <v>497</v>
      </c>
      <c r="K211" t="s">
        <v>737</v>
      </c>
    </row>
    <row r="212" spans="1:11">
      <c r="A212" t="s">
        <v>305</v>
      </c>
      <c r="B212" t="s">
        <v>306</v>
      </c>
      <c r="C212" t="s">
        <v>304</v>
      </c>
      <c r="D212" t="s">
        <v>750</v>
      </c>
      <c r="E212">
        <v>2010</v>
      </c>
      <c r="F212" t="s">
        <v>381</v>
      </c>
      <c r="G212" t="s">
        <v>358</v>
      </c>
      <c r="H212" t="s">
        <v>364</v>
      </c>
      <c r="I212" t="s">
        <v>395</v>
      </c>
      <c r="J212" t="s">
        <v>396</v>
      </c>
      <c r="K212" t="s">
        <v>737</v>
      </c>
    </row>
    <row r="213" spans="1:11">
      <c r="A213" t="s">
        <v>307</v>
      </c>
      <c r="B213" t="s">
        <v>291</v>
      </c>
      <c r="C213" t="s">
        <v>53</v>
      </c>
      <c r="D213" t="s">
        <v>751</v>
      </c>
      <c r="E213">
        <v>2010</v>
      </c>
      <c r="F213" t="s">
        <v>381</v>
      </c>
      <c r="G213" t="s">
        <v>358</v>
      </c>
      <c r="H213" t="s">
        <v>364</v>
      </c>
      <c r="I213" t="s">
        <v>395</v>
      </c>
      <c r="J213" t="s">
        <v>396</v>
      </c>
      <c r="K213" t="s">
        <v>737</v>
      </c>
    </row>
    <row r="214" spans="1:11">
      <c r="A214" t="s">
        <v>308</v>
      </c>
      <c r="B214" t="s">
        <v>289</v>
      </c>
      <c r="C214" t="s">
        <v>12</v>
      </c>
      <c r="D214" t="s">
        <v>752</v>
      </c>
      <c r="E214">
        <v>2000</v>
      </c>
      <c r="F214" t="s">
        <v>381</v>
      </c>
      <c r="G214" t="s">
        <v>359</v>
      </c>
      <c r="H214" t="s">
        <v>364</v>
      </c>
      <c r="I214" t="s">
        <v>377</v>
      </c>
      <c r="J214" t="s">
        <v>400</v>
      </c>
      <c r="K214" t="s">
        <v>737</v>
      </c>
    </row>
    <row r="215" spans="1:11">
      <c r="A215" t="s">
        <v>309</v>
      </c>
      <c r="B215" t="s">
        <v>303</v>
      </c>
      <c r="C215" t="s">
        <v>18</v>
      </c>
      <c r="D215" t="s">
        <v>753</v>
      </c>
      <c r="E215">
        <v>2011</v>
      </c>
      <c r="F215" t="s">
        <v>381</v>
      </c>
      <c r="G215" t="s">
        <v>358</v>
      </c>
      <c r="H215" t="s">
        <v>364</v>
      </c>
      <c r="I215" t="s">
        <v>377</v>
      </c>
      <c r="J215" t="s">
        <v>400</v>
      </c>
      <c r="K215" t="s">
        <v>737</v>
      </c>
    </row>
    <row r="216" spans="1:11">
      <c r="A216" t="s">
        <v>310</v>
      </c>
      <c r="B216" t="s">
        <v>291</v>
      </c>
      <c r="C216" t="s">
        <v>53</v>
      </c>
      <c r="D216" t="s">
        <v>754</v>
      </c>
      <c r="E216">
        <v>2007</v>
      </c>
      <c r="F216" t="s">
        <v>671</v>
      </c>
      <c r="G216" t="s">
        <v>358</v>
      </c>
      <c r="H216" t="s">
        <v>364</v>
      </c>
      <c r="I216" t="s">
        <v>384</v>
      </c>
      <c r="J216" t="s">
        <v>385</v>
      </c>
      <c r="K216" t="s">
        <v>737</v>
      </c>
    </row>
    <row r="217" spans="1:11">
      <c r="A217" t="s">
        <v>312</v>
      </c>
      <c r="B217" t="s">
        <v>313</v>
      </c>
      <c r="C217" t="s">
        <v>311</v>
      </c>
      <c r="D217" t="s">
        <v>755</v>
      </c>
      <c r="E217">
        <v>1999</v>
      </c>
      <c r="F217" t="s">
        <v>394</v>
      </c>
      <c r="G217" t="s">
        <v>360</v>
      </c>
      <c r="H217" t="s">
        <v>365</v>
      </c>
      <c r="I217" t="s">
        <v>387</v>
      </c>
      <c r="J217" t="s">
        <v>388</v>
      </c>
      <c r="K217" t="s">
        <v>756</v>
      </c>
    </row>
    <row r="218" spans="1:11">
      <c r="A218" t="s">
        <v>314</v>
      </c>
      <c r="B218" t="s">
        <v>313</v>
      </c>
      <c r="C218" t="s">
        <v>311</v>
      </c>
      <c r="D218" t="s">
        <v>757</v>
      </c>
      <c r="E218">
        <v>1999</v>
      </c>
      <c r="F218" t="s">
        <v>394</v>
      </c>
      <c r="G218" t="s">
        <v>360</v>
      </c>
      <c r="H218" t="s">
        <v>365</v>
      </c>
      <c r="I218" t="s">
        <v>387</v>
      </c>
      <c r="J218" t="s">
        <v>388</v>
      </c>
      <c r="K218" t="s">
        <v>756</v>
      </c>
    </row>
    <row r="219" spans="1:11">
      <c r="A219" t="s">
        <v>315</v>
      </c>
      <c r="B219" t="s">
        <v>316</v>
      </c>
      <c r="C219" t="s">
        <v>4</v>
      </c>
      <c r="D219" t="s">
        <v>758</v>
      </c>
      <c r="E219">
        <v>2005</v>
      </c>
      <c r="F219" t="s">
        <v>381</v>
      </c>
      <c r="G219" t="s">
        <v>358</v>
      </c>
      <c r="H219" t="s">
        <v>364</v>
      </c>
      <c r="I219" t="s">
        <v>596</v>
      </c>
      <c r="J219" t="s">
        <v>597</v>
      </c>
      <c r="K219" t="s">
        <v>759</v>
      </c>
    </row>
    <row r="220" spans="1:11">
      <c r="A220" t="s">
        <v>317</v>
      </c>
      <c r="B220" t="s">
        <v>318</v>
      </c>
      <c r="C220" t="s">
        <v>15</v>
      </c>
      <c r="D220" t="s">
        <v>760</v>
      </c>
      <c r="E220">
        <v>2009</v>
      </c>
      <c r="F220" t="s">
        <v>381</v>
      </c>
      <c r="G220" t="s">
        <v>358</v>
      </c>
      <c r="H220" t="s">
        <v>364</v>
      </c>
      <c r="I220" t="s">
        <v>387</v>
      </c>
      <c r="J220" t="s">
        <v>391</v>
      </c>
      <c r="K220" t="s">
        <v>759</v>
      </c>
    </row>
    <row r="221" spans="1:11">
      <c r="A221" t="s">
        <v>319</v>
      </c>
      <c r="B221" t="s">
        <v>320</v>
      </c>
      <c r="C221" t="s">
        <v>12</v>
      </c>
      <c r="D221" t="s">
        <v>761</v>
      </c>
      <c r="E221">
        <v>2016</v>
      </c>
      <c r="F221" t="s">
        <v>381</v>
      </c>
      <c r="G221" t="s">
        <v>358</v>
      </c>
      <c r="H221" t="s">
        <v>364</v>
      </c>
      <c r="I221" t="s">
        <v>387</v>
      </c>
      <c r="J221" t="s">
        <v>391</v>
      </c>
      <c r="K221" t="s">
        <v>759</v>
      </c>
    </row>
    <row r="222" spans="1:11">
      <c r="A222" t="s">
        <v>321</v>
      </c>
      <c r="B222" t="s">
        <v>322</v>
      </c>
      <c r="C222" t="s">
        <v>15</v>
      </c>
      <c r="D222" t="s">
        <v>762</v>
      </c>
      <c r="E222">
        <v>2018</v>
      </c>
      <c r="G222" t="s">
        <v>358</v>
      </c>
      <c r="I222" t="s">
        <v>387</v>
      </c>
      <c r="J222" t="s">
        <v>391</v>
      </c>
      <c r="K222" t="s">
        <v>759</v>
      </c>
    </row>
    <row r="223" spans="1:11">
      <c r="A223" t="s">
        <v>323</v>
      </c>
      <c r="B223" t="s">
        <v>322</v>
      </c>
      <c r="C223" t="s">
        <v>304</v>
      </c>
      <c r="D223" t="s">
        <v>763</v>
      </c>
      <c r="E223">
        <v>2014</v>
      </c>
      <c r="F223" t="s">
        <v>381</v>
      </c>
      <c r="G223" t="s">
        <v>358</v>
      </c>
      <c r="H223" t="s">
        <v>364</v>
      </c>
      <c r="I223" t="s">
        <v>615</v>
      </c>
      <c r="J223" t="s">
        <v>764</v>
      </c>
      <c r="K223" t="s">
        <v>759</v>
      </c>
    </row>
    <row r="224" spans="1:11">
      <c r="A224" t="s">
        <v>324</v>
      </c>
      <c r="B224" t="s">
        <v>322</v>
      </c>
      <c r="C224" t="s">
        <v>304</v>
      </c>
      <c r="D224" t="s">
        <v>765</v>
      </c>
      <c r="E224">
        <v>2012</v>
      </c>
      <c r="F224" t="s">
        <v>381</v>
      </c>
      <c r="G224" t="s">
        <v>358</v>
      </c>
      <c r="H224" t="s">
        <v>364</v>
      </c>
      <c r="I224" t="s">
        <v>486</v>
      </c>
      <c r="J224" t="s">
        <v>766</v>
      </c>
      <c r="K224" t="s">
        <v>759</v>
      </c>
    </row>
    <row r="225" spans="1:11">
      <c r="A225" t="s">
        <v>325</v>
      </c>
      <c r="B225" t="s">
        <v>326</v>
      </c>
      <c r="C225" t="s">
        <v>12</v>
      </c>
      <c r="D225" t="s">
        <v>767</v>
      </c>
      <c r="E225">
        <v>2000</v>
      </c>
      <c r="F225" t="s">
        <v>381</v>
      </c>
      <c r="G225" t="s">
        <v>359</v>
      </c>
      <c r="H225" t="s">
        <v>364</v>
      </c>
      <c r="I225" t="s">
        <v>515</v>
      </c>
      <c r="J225" t="s">
        <v>576</v>
      </c>
      <c r="K225" t="s">
        <v>759</v>
      </c>
    </row>
    <row r="226" spans="1:11">
      <c r="A226" t="s">
        <v>327</v>
      </c>
      <c r="B226" t="s">
        <v>322</v>
      </c>
      <c r="C226" t="s">
        <v>15</v>
      </c>
      <c r="D226" t="s">
        <v>768</v>
      </c>
      <c r="E226">
        <v>2012</v>
      </c>
      <c r="F226" t="s">
        <v>381</v>
      </c>
      <c r="G226" t="s">
        <v>358</v>
      </c>
      <c r="H226" t="s">
        <v>364</v>
      </c>
      <c r="I226" t="s">
        <v>457</v>
      </c>
      <c r="J226" t="s">
        <v>458</v>
      </c>
      <c r="K226" t="s">
        <v>759</v>
      </c>
    </row>
    <row r="227" spans="1:11">
      <c r="A227" t="s">
        <v>328</v>
      </c>
      <c r="B227" t="s">
        <v>318</v>
      </c>
      <c r="C227" t="s">
        <v>15</v>
      </c>
      <c r="D227" t="s">
        <v>769</v>
      </c>
      <c r="E227">
        <v>2009</v>
      </c>
      <c r="F227" t="s">
        <v>381</v>
      </c>
      <c r="G227" t="s">
        <v>358</v>
      </c>
      <c r="H227" t="s">
        <v>364</v>
      </c>
      <c r="I227" t="s">
        <v>493</v>
      </c>
      <c r="J227" t="s">
        <v>494</v>
      </c>
      <c r="K227" t="s">
        <v>759</v>
      </c>
    </row>
    <row r="228" spans="1:11">
      <c r="A228" t="s">
        <v>329</v>
      </c>
      <c r="B228" t="s">
        <v>322</v>
      </c>
      <c r="C228" t="s">
        <v>304</v>
      </c>
      <c r="D228" t="s">
        <v>770</v>
      </c>
      <c r="E228">
        <v>2014</v>
      </c>
      <c r="F228" t="s">
        <v>381</v>
      </c>
      <c r="G228" t="s">
        <v>358</v>
      </c>
      <c r="H228" t="s">
        <v>364</v>
      </c>
      <c r="I228" t="s">
        <v>493</v>
      </c>
      <c r="J228" t="s">
        <v>494</v>
      </c>
      <c r="K228" t="s">
        <v>759</v>
      </c>
    </row>
    <row r="229" spans="1:11">
      <c r="A229" t="s">
        <v>330</v>
      </c>
      <c r="B229" t="s">
        <v>322</v>
      </c>
      <c r="C229" t="s">
        <v>304</v>
      </c>
      <c r="D229" t="s">
        <v>771</v>
      </c>
      <c r="E229">
        <v>2014</v>
      </c>
      <c r="F229" t="s">
        <v>381</v>
      </c>
      <c r="G229" t="s">
        <v>358</v>
      </c>
      <c r="H229" t="s">
        <v>364</v>
      </c>
      <c r="I229" t="s">
        <v>493</v>
      </c>
      <c r="J229" t="s">
        <v>494</v>
      </c>
      <c r="K229" t="s">
        <v>759</v>
      </c>
    </row>
    <row r="230" spans="1:11">
      <c r="A230" t="s">
        <v>331</v>
      </c>
      <c r="B230" t="s">
        <v>332</v>
      </c>
      <c r="C230" t="s">
        <v>4</v>
      </c>
      <c r="D230" t="s">
        <v>772</v>
      </c>
      <c r="E230">
        <v>2017</v>
      </c>
      <c r="F230" t="s">
        <v>381</v>
      </c>
      <c r="G230" t="s">
        <v>358</v>
      </c>
      <c r="H230" t="s">
        <v>364</v>
      </c>
      <c r="I230" t="s">
        <v>493</v>
      </c>
      <c r="J230" t="s">
        <v>494</v>
      </c>
      <c r="K230" t="s">
        <v>759</v>
      </c>
    </row>
    <row r="231" spans="1:11">
      <c r="A231" t="s">
        <v>333</v>
      </c>
      <c r="B231" t="s">
        <v>334</v>
      </c>
      <c r="C231" t="s">
        <v>15</v>
      </c>
      <c r="D231" t="s">
        <v>773</v>
      </c>
      <c r="E231">
        <v>2010</v>
      </c>
      <c r="F231" t="s">
        <v>381</v>
      </c>
      <c r="G231" t="s">
        <v>358</v>
      </c>
      <c r="H231" t="s">
        <v>364</v>
      </c>
      <c r="I231" t="s">
        <v>496</v>
      </c>
      <c r="J231" t="s">
        <v>497</v>
      </c>
      <c r="K231" t="s">
        <v>759</v>
      </c>
    </row>
    <row r="232" spans="1:11">
      <c r="A232" t="s">
        <v>335</v>
      </c>
      <c r="B232" t="s">
        <v>336</v>
      </c>
      <c r="C232" t="s">
        <v>4</v>
      </c>
      <c r="D232" t="s">
        <v>774</v>
      </c>
      <c r="E232">
        <v>2003</v>
      </c>
      <c r="F232" t="s">
        <v>381</v>
      </c>
      <c r="G232" t="s">
        <v>359</v>
      </c>
      <c r="H232" t="s">
        <v>364</v>
      </c>
      <c r="I232" t="s">
        <v>395</v>
      </c>
      <c r="J232" t="s">
        <v>396</v>
      </c>
      <c r="K232" t="s">
        <v>759</v>
      </c>
    </row>
    <row r="233" spans="1:11">
      <c r="A233" t="s">
        <v>337</v>
      </c>
      <c r="B233" t="s">
        <v>338</v>
      </c>
      <c r="C233" t="s">
        <v>15</v>
      </c>
      <c r="D233" t="s">
        <v>775</v>
      </c>
      <c r="E233">
        <v>2014</v>
      </c>
      <c r="F233" t="s">
        <v>381</v>
      </c>
      <c r="G233" t="s">
        <v>358</v>
      </c>
      <c r="H233" t="s">
        <v>364</v>
      </c>
      <c r="I233" t="s">
        <v>395</v>
      </c>
      <c r="J233" t="s">
        <v>396</v>
      </c>
      <c r="K233" t="s">
        <v>759</v>
      </c>
    </row>
    <row r="234" spans="1:11">
      <c r="A234" t="s">
        <v>340</v>
      </c>
      <c r="B234" t="s">
        <v>341</v>
      </c>
      <c r="C234" t="s">
        <v>339</v>
      </c>
      <c r="D234" t="s">
        <v>776</v>
      </c>
      <c r="E234">
        <v>1985</v>
      </c>
      <c r="F234" t="s">
        <v>777</v>
      </c>
      <c r="G234" t="s">
        <v>359</v>
      </c>
      <c r="H234" t="s">
        <v>364</v>
      </c>
      <c r="I234" t="s">
        <v>395</v>
      </c>
      <c r="J234" t="s">
        <v>396</v>
      </c>
      <c r="K234" t="s">
        <v>759</v>
      </c>
    </row>
    <row r="235" spans="1:11">
      <c r="A235" t="s">
        <v>342</v>
      </c>
      <c r="B235" t="s">
        <v>343</v>
      </c>
      <c r="C235" t="s">
        <v>4</v>
      </c>
      <c r="D235" t="s">
        <v>778</v>
      </c>
      <c r="E235">
        <v>2000</v>
      </c>
      <c r="F235" t="s">
        <v>381</v>
      </c>
      <c r="G235" t="s">
        <v>359</v>
      </c>
      <c r="H235" t="s">
        <v>364</v>
      </c>
      <c r="I235" t="s">
        <v>377</v>
      </c>
      <c r="J235" t="s">
        <v>400</v>
      </c>
      <c r="K235" t="s">
        <v>759</v>
      </c>
    </row>
    <row r="236" spans="1:11">
      <c r="A236" t="s">
        <v>344</v>
      </c>
      <c r="B236" t="s">
        <v>345</v>
      </c>
      <c r="C236" t="s">
        <v>15</v>
      </c>
      <c r="D236" t="s">
        <v>779</v>
      </c>
      <c r="E236">
        <v>2006</v>
      </c>
      <c r="F236" t="s">
        <v>381</v>
      </c>
      <c r="G236" t="s">
        <v>358</v>
      </c>
      <c r="H236" t="s">
        <v>364</v>
      </c>
      <c r="I236" t="s">
        <v>377</v>
      </c>
      <c r="J236" t="s">
        <v>400</v>
      </c>
      <c r="K236" t="s">
        <v>759</v>
      </c>
    </row>
    <row r="237" spans="1:11">
      <c r="A237" t="s">
        <v>346</v>
      </c>
      <c r="B237" t="s">
        <v>347</v>
      </c>
      <c r="C237" t="s">
        <v>12</v>
      </c>
      <c r="D237" t="s">
        <v>780</v>
      </c>
      <c r="E237">
        <v>2010</v>
      </c>
      <c r="F237" t="s">
        <v>381</v>
      </c>
      <c r="G237" t="s">
        <v>358</v>
      </c>
      <c r="H237" t="s">
        <v>364</v>
      </c>
      <c r="I237" t="s">
        <v>377</v>
      </c>
      <c r="J237" t="s">
        <v>400</v>
      </c>
      <c r="K237" t="s">
        <v>759</v>
      </c>
    </row>
    <row r="238" spans="1:11">
      <c r="A238" t="s">
        <v>348</v>
      </c>
      <c r="B238" t="s">
        <v>322</v>
      </c>
      <c r="C238" t="s">
        <v>15</v>
      </c>
      <c r="D238" t="s">
        <v>781</v>
      </c>
      <c r="E238">
        <v>2012</v>
      </c>
      <c r="F238" t="s">
        <v>381</v>
      </c>
      <c r="G238" t="s">
        <v>358</v>
      </c>
      <c r="H238" t="s">
        <v>364</v>
      </c>
      <c r="I238" t="s">
        <v>377</v>
      </c>
      <c r="J238" t="s">
        <v>400</v>
      </c>
      <c r="K238" t="s">
        <v>759</v>
      </c>
    </row>
    <row r="239" spans="1:11">
      <c r="A239" t="s">
        <v>349</v>
      </c>
      <c r="B239" t="s">
        <v>350</v>
      </c>
      <c r="C239" t="s">
        <v>4</v>
      </c>
      <c r="D239" t="s">
        <v>782</v>
      </c>
      <c r="E239">
        <v>2000</v>
      </c>
      <c r="F239" t="s">
        <v>381</v>
      </c>
      <c r="G239" t="s">
        <v>359</v>
      </c>
      <c r="H239" t="s">
        <v>364</v>
      </c>
      <c r="I239" t="s">
        <v>384</v>
      </c>
      <c r="J239" t="s">
        <v>385</v>
      </c>
      <c r="K239" t="s">
        <v>759</v>
      </c>
    </row>
    <row r="240" spans="1:11">
      <c r="A240" t="s">
        <v>351</v>
      </c>
      <c r="B240" t="s">
        <v>352</v>
      </c>
      <c r="C240" t="s">
        <v>105</v>
      </c>
      <c r="D240" t="s">
        <v>783</v>
      </c>
      <c r="E240">
        <v>2019</v>
      </c>
      <c r="G240" t="s">
        <v>358</v>
      </c>
      <c r="H240" t="s">
        <v>364</v>
      </c>
      <c r="I240" t="s">
        <v>615</v>
      </c>
      <c r="J240" t="s">
        <v>764</v>
      </c>
      <c r="K240" t="s">
        <v>784</v>
      </c>
    </row>
    <row r="241" spans="1:1">
      <c r="A241">
        <v>237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Helder de Faria</dc:creator>
  <cp:keywords/>
  <dc:description/>
  <cp:lastModifiedBy/>
  <cp:revision/>
  <dcterms:created xsi:type="dcterms:W3CDTF">2023-05-02T11:42:11Z</dcterms:created>
  <dcterms:modified xsi:type="dcterms:W3CDTF">2024-09-27T00:36:52Z</dcterms:modified>
  <cp:category/>
  <cp:contentStatus/>
</cp:coreProperties>
</file>